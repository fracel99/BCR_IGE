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rancocelano/Library/Mobile Documents/com~apple~CloudDocs/Documents/TU Berlin/Korea Austausch/Korea Studium/2nd Semester/Immunology/IgE Project/VDJ count/"/>
    </mc:Choice>
  </mc:AlternateContent>
  <xr:revisionPtr revIDLastSave="0" documentId="13_ncr:1_{3AB6D5D6-4D2C-1F43-93C7-55EBC1304304}" xr6:coauthVersionLast="47" xr6:coauthVersionMax="47" xr10:uidLastSave="{00000000-0000-0000-0000-000000000000}"/>
  <bookViews>
    <workbookView xWindow="0" yWindow="760" windowWidth="30240" windowHeight="17200" xr2:uid="{113E7017-C32B-534E-B839-A2876588CE42}"/>
  </bookViews>
  <sheets>
    <sheet name="Datasets summary" sheetId="3" r:id="rId1"/>
    <sheet name="Gene Usage" sheetId="1" r:id="rId2"/>
    <sheet name="Sankey diagra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3" i="4" l="1"/>
  <c r="Z6" i="4"/>
  <c r="AD25" i="4"/>
  <c r="AH122" i="4"/>
  <c r="AD24" i="4"/>
  <c r="Z2" i="4"/>
  <c r="Z3" i="4"/>
  <c r="Z4" i="4"/>
  <c r="Z5" i="4"/>
  <c r="AK2" i="1"/>
  <c r="Y2" i="4" a="1"/>
  <c r="Y2" i="4" s="1"/>
  <c r="AK42" i="1"/>
  <c r="AK41" i="1"/>
  <c r="AK40" i="1"/>
  <c r="AK30" i="1"/>
  <c r="AK39" i="1"/>
  <c r="AK38" i="1"/>
  <c r="AK24" i="1"/>
  <c r="AK37" i="1"/>
  <c r="AK29" i="1"/>
  <c r="AK36" i="1"/>
  <c r="AK35" i="1"/>
  <c r="AK28" i="1"/>
  <c r="AK34" i="1"/>
  <c r="AK33" i="1"/>
  <c r="AK32" i="1"/>
  <c r="AK27" i="1"/>
  <c r="AK26" i="1"/>
  <c r="AK23" i="1"/>
  <c r="AK20" i="1"/>
  <c r="AK19" i="1"/>
  <c r="AK22" i="1"/>
  <c r="AK31" i="1"/>
  <c r="AK16" i="1"/>
  <c r="AK15" i="1"/>
  <c r="AK18" i="1"/>
  <c r="AK25" i="1"/>
  <c r="AK21" i="1"/>
  <c r="AK17" i="1"/>
  <c r="AK14" i="1"/>
  <c r="AK12" i="1"/>
  <c r="AK10" i="1"/>
  <c r="AK9" i="1"/>
  <c r="AK3" i="1"/>
  <c r="AK4" i="1"/>
  <c r="AK11" i="1"/>
  <c r="AK5" i="1"/>
  <c r="AK6" i="1"/>
  <c r="AK7" i="1"/>
  <c r="Z2" i="1"/>
  <c r="Z41" i="1"/>
  <c r="Z47" i="1"/>
  <c r="Z34" i="1"/>
  <c r="Z39" i="1"/>
  <c r="Z31" i="1"/>
  <c r="Z24" i="1"/>
  <c r="Z70" i="1"/>
  <c r="Z48" i="1"/>
  <c r="Z42" i="1"/>
  <c r="Z43" i="1"/>
  <c r="Z4" i="1"/>
  <c r="Z6" i="1"/>
  <c r="Z3" i="1"/>
  <c r="Z18" i="1"/>
  <c r="Z17" i="1"/>
  <c r="Z19" i="1"/>
  <c r="Z35" i="1"/>
  <c r="Z40" i="1"/>
  <c r="Z53" i="1"/>
  <c r="Z71" i="1"/>
  <c r="Z72" i="1"/>
  <c r="Z49" i="1"/>
  <c r="Z44" i="1"/>
  <c r="Z73" i="1"/>
  <c r="Z74" i="1"/>
  <c r="Z32" i="1"/>
  <c r="Z50" i="1"/>
  <c r="Z11" i="1"/>
  <c r="Z20" i="1"/>
  <c r="Z26" i="1"/>
  <c r="Z75" i="1"/>
  <c r="Z54" i="1"/>
  <c r="Z5" i="1"/>
  <c r="Z27" i="1"/>
  <c r="Z76" i="1"/>
  <c r="Z51" i="1"/>
  <c r="Z36" i="1"/>
  <c r="Z77" i="1"/>
  <c r="Z12" i="1"/>
  <c r="Z55" i="1"/>
  <c r="Z56" i="1"/>
  <c r="Z7" i="1"/>
  <c r="Z78" i="1"/>
  <c r="Z57" i="1"/>
  <c r="Z13" i="1"/>
  <c r="Z58" i="1"/>
  <c r="Z8" i="1"/>
  <c r="Z29" i="1"/>
  <c r="Z79" i="1"/>
  <c r="Z59" i="1"/>
  <c r="Z80" i="1"/>
  <c r="Z60" i="1"/>
  <c r="Z10" i="1"/>
  <c r="Z14" i="1"/>
  <c r="Z9" i="1"/>
  <c r="Z15" i="1"/>
  <c r="Z81" i="1"/>
  <c r="Z22" i="1"/>
  <c r="Z61" i="1"/>
  <c r="Z82" i="1"/>
  <c r="Z25" i="1"/>
  <c r="Z62" i="1"/>
  <c r="Z63" i="1"/>
  <c r="Z64" i="1"/>
  <c r="Z83" i="1"/>
  <c r="Z84" i="1"/>
  <c r="Z85" i="1"/>
  <c r="Z45" i="1"/>
  <c r="Z46" i="1"/>
  <c r="Z33" i="1"/>
  <c r="Z65" i="1"/>
  <c r="Z66" i="1"/>
  <c r="Z86" i="1"/>
  <c r="Z67" i="1"/>
  <c r="Z87" i="1"/>
  <c r="Z28" i="1"/>
  <c r="Z23" i="1"/>
  <c r="Z68" i="1"/>
  <c r="Z37" i="1"/>
  <c r="Z88" i="1"/>
  <c r="Z69" i="1"/>
  <c r="Z89" i="1"/>
  <c r="Z38" i="1"/>
  <c r="Z52" i="1"/>
  <c r="Z90" i="1"/>
  <c r="Z91" i="1"/>
  <c r="Z30" i="1"/>
  <c r="U2" i="1"/>
  <c r="U7" i="1"/>
  <c r="U33" i="1"/>
  <c r="U18" i="1"/>
  <c r="U4" i="1"/>
  <c r="U8" i="1"/>
  <c r="U11" i="1"/>
  <c r="U12" i="1"/>
  <c r="U14" i="1"/>
  <c r="U19" i="1"/>
  <c r="U15" i="1"/>
  <c r="U20" i="1"/>
  <c r="U34" i="1"/>
  <c r="U35" i="1"/>
  <c r="U21" i="1"/>
  <c r="U36" i="1"/>
  <c r="U37" i="1"/>
  <c r="U6" i="1"/>
  <c r="U9" i="1"/>
  <c r="U23" i="1"/>
  <c r="U24" i="1"/>
  <c r="U16" i="1"/>
  <c r="U25" i="1"/>
  <c r="U26" i="1"/>
  <c r="U27" i="1"/>
  <c r="U13" i="1"/>
  <c r="U17" i="1"/>
  <c r="U28" i="1"/>
  <c r="U29" i="1"/>
  <c r="U30" i="1"/>
  <c r="U31" i="1"/>
  <c r="U32" i="1"/>
  <c r="U3" i="1"/>
  <c r="U38" i="1"/>
  <c r="U22" i="1"/>
  <c r="D63" i="3"/>
  <c r="G63" i="3"/>
  <c r="F63" i="3"/>
  <c r="E63" i="3"/>
  <c r="D62" i="3"/>
  <c r="D61" i="3"/>
  <c r="E50" i="3"/>
  <c r="F50" i="3"/>
  <c r="G50" i="3"/>
  <c r="D50" i="3"/>
  <c r="E45" i="3"/>
  <c r="F45" i="3"/>
  <c r="G45" i="3"/>
  <c r="D45" i="3"/>
  <c r="E41" i="3"/>
  <c r="F41" i="3"/>
  <c r="G41" i="3"/>
  <c r="D41" i="3"/>
  <c r="E29" i="3"/>
  <c r="F29" i="3"/>
  <c r="G29" i="3"/>
  <c r="D29" i="3"/>
  <c r="E24" i="3"/>
  <c r="F24" i="3"/>
  <c r="G24" i="3"/>
  <c r="D24" i="3"/>
  <c r="E17" i="3"/>
  <c r="F17" i="3"/>
  <c r="G17" i="3"/>
  <c r="D17" i="3"/>
  <c r="E9" i="3"/>
  <c r="F9" i="3"/>
  <c r="G9" i="3"/>
  <c r="D9" i="3"/>
  <c r="E3" i="3"/>
  <c r="F3" i="3"/>
  <c r="G3" i="3"/>
  <c r="D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<sst xmlns="http://schemas.openxmlformats.org/spreadsheetml/2006/main" count="2837" uniqueCount="247">
  <si>
    <t>Dataset</t>
  </si>
  <si>
    <t>Gene_Type</t>
  </si>
  <si>
    <t>Gene_Name</t>
  </si>
  <si>
    <t>Count</t>
  </si>
  <si>
    <t>N_IgE</t>
  </si>
  <si>
    <t>V_gene_assigned</t>
  </si>
  <si>
    <t>D_gene_assigned</t>
  </si>
  <si>
    <t>J_gene_assigned</t>
  </si>
  <si>
    <t>GSE205376</t>
  </si>
  <si>
    <t>GSE240063</t>
  </si>
  <si>
    <t>GSE240813</t>
  </si>
  <si>
    <t>GSE252246</t>
  </si>
  <si>
    <t>GSE282284</t>
  </si>
  <si>
    <t>GSE285185</t>
  </si>
  <si>
    <t>GSE286951</t>
  </si>
  <si>
    <t>GSE287123</t>
  </si>
  <si>
    <t>GSE288454</t>
  </si>
  <si>
    <t>Subset</t>
  </si>
  <si>
    <t>Parasite</t>
  </si>
  <si>
    <t>INF_Female_mouse1</t>
  </si>
  <si>
    <t>INF_Male_mouse1</t>
  </si>
  <si>
    <t>UNINF_Female_mouse1</t>
  </si>
  <si>
    <t>UNINF_Male_mouse1</t>
  </si>
  <si>
    <t>Control/Naïve</t>
  </si>
  <si>
    <t>Vaccines (mRNA)</t>
  </si>
  <si>
    <t>GSM7680784</t>
  </si>
  <si>
    <t>GSM7680785</t>
  </si>
  <si>
    <t>GSM7680786</t>
  </si>
  <si>
    <t>GSM7680787</t>
  </si>
  <si>
    <t>GSM7680789</t>
  </si>
  <si>
    <t>GSM7680790</t>
  </si>
  <si>
    <t>Pseudouridine vaccine</t>
  </si>
  <si>
    <t>Uridine vaccine</t>
  </si>
  <si>
    <t>Classification/Type</t>
  </si>
  <si>
    <t>Parasite inf.</t>
  </si>
  <si>
    <t>NP-KLH Immunization</t>
  </si>
  <si>
    <t>GSM7709779</t>
  </si>
  <si>
    <t>GSM7709783</t>
  </si>
  <si>
    <t>GSM7709785</t>
  </si>
  <si>
    <t>GSM7709787</t>
  </si>
  <si>
    <t>GSM7709791</t>
  </si>
  <si>
    <t>Spleen, 14 d.p.i., NP-specific</t>
  </si>
  <si>
    <t>Spleen, 35 d.p.i., B220-CD138+</t>
  </si>
  <si>
    <t>Spleen, 35 d.p.i, CD138+</t>
  </si>
  <si>
    <t>Spleen, 35 d.p.i., B220-B220intCD138+</t>
  </si>
  <si>
    <t>Spleen, 35 d.p.i., B220-B220intB220+CD138+</t>
  </si>
  <si>
    <t>Lupus</t>
  </si>
  <si>
    <t>GSM7997992_m2_mouse1</t>
  </si>
  <si>
    <t>GSM7997992_m4_mouse2</t>
  </si>
  <si>
    <t>GSM7997992_m7_mouse3</t>
  </si>
  <si>
    <t>disease onset (7m)</t>
  </si>
  <si>
    <t>disease onset (4m)</t>
  </si>
  <si>
    <t>pre-disease (2m)</t>
  </si>
  <si>
    <t>NP-OVA Immunization</t>
  </si>
  <si>
    <t>GSM8640517</t>
  </si>
  <si>
    <t>GSM8640519</t>
  </si>
  <si>
    <t>GSM8697658</t>
  </si>
  <si>
    <t>GSM8697660</t>
  </si>
  <si>
    <t>GSM8697663</t>
  </si>
  <si>
    <t>GSM8697666</t>
  </si>
  <si>
    <t>GSM8697669</t>
  </si>
  <si>
    <t>GSM8697672</t>
  </si>
  <si>
    <t>"</t>
  </si>
  <si>
    <t>Mediastinal lymph node</t>
  </si>
  <si>
    <t>GSM8734767</t>
  </si>
  <si>
    <t>GSM8734769</t>
  </si>
  <si>
    <t>Allergies (Intranasal NP-KLH/HDM)</t>
  </si>
  <si>
    <t>SARS-CoV-2 Immunization</t>
  </si>
  <si>
    <t>GSM8739136</t>
  </si>
  <si>
    <t>GSM8739148</t>
  </si>
  <si>
    <t>GSM8739154</t>
  </si>
  <si>
    <t>GSE287123_VDJ_only</t>
  </si>
  <si>
    <t>GSE240063_VDJ_only</t>
  </si>
  <si>
    <t>GSE240813_CDR3_only</t>
  </si>
  <si>
    <t>GSM8768192_mouse1</t>
  </si>
  <si>
    <t>GSM8768192_mouse2</t>
  </si>
  <si>
    <t>GSM8768192_mouse3</t>
  </si>
  <si>
    <t>GSM8768193_YW5_mouse1</t>
  </si>
  <si>
    <t>GSM8768193_YW5_mouse2</t>
  </si>
  <si>
    <t>GSM8768193_YW5_mouse3</t>
  </si>
  <si>
    <t>Allergies (Intranasal ragweed pollen and OVA)</t>
  </si>
  <si>
    <t>Lung B cells</t>
  </si>
  <si>
    <t>Mediastinal lymph node B cells</t>
  </si>
  <si>
    <t>*representatives!</t>
  </si>
  <si>
    <t>Sidenote</t>
  </si>
  <si>
    <t>Total</t>
  </si>
  <si>
    <t>Total CDR3</t>
  </si>
  <si>
    <t>Total VDJ</t>
  </si>
  <si>
    <t>V</t>
  </si>
  <si>
    <t>IGHV3-1</t>
  </si>
  <si>
    <t>IGHV1-5</t>
  </si>
  <si>
    <t>IGHV5-9</t>
  </si>
  <si>
    <t>IGHV1-9</t>
  </si>
  <si>
    <t>IGHV1-53</t>
  </si>
  <si>
    <t>IGHV5-9-1</t>
  </si>
  <si>
    <t>IGHV3-6</t>
  </si>
  <si>
    <t>IGHV2-6-8</t>
  </si>
  <si>
    <t>IGHV2-6</t>
  </si>
  <si>
    <t>IGHV1-66</t>
  </si>
  <si>
    <t>IGHV1-42</t>
  </si>
  <si>
    <t>D</t>
  </si>
  <si>
    <t>IGHD2-8</t>
  </si>
  <si>
    <t>IGHD2-7</t>
  </si>
  <si>
    <t>IGHD2-3</t>
  </si>
  <si>
    <t>J</t>
  </si>
  <si>
    <t>IGHJ2</t>
  </si>
  <si>
    <t>IGHJ4</t>
  </si>
  <si>
    <t>IGHJ3</t>
  </si>
  <si>
    <t>IGHV14-3</t>
  </si>
  <si>
    <t>IGHV9-3</t>
  </si>
  <si>
    <t>IGHV5-2</t>
  </si>
  <si>
    <t>IGHV1-69</t>
  </si>
  <si>
    <t>IGHV1-61</t>
  </si>
  <si>
    <t>IGHV1-55</t>
  </si>
  <si>
    <t>IGHV1-4</t>
  </si>
  <si>
    <t>IGHV1-34</t>
  </si>
  <si>
    <t>IGHV13-2</t>
  </si>
  <si>
    <t>IGHV1-26</t>
  </si>
  <si>
    <t>IGHV1-22</t>
  </si>
  <si>
    <t>IGHD3-2</t>
  </si>
  <si>
    <t>IGHJ1</t>
  </si>
  <si>
    <t>IGHV1-19</t>
  </si>
  <si>
    <t>IGHV2-9</t>
  </si>
  <si>
    <t>IGHV1-84</t>
  </si>
  <si>
    <t>IGHD4-1</t>
  </si>
  <si>
    <t>IGHD1-1</t>
  </si>
  <si>
    <t>IGHV1-11</t>
  </si>
  <si>
    <t xml:space="preserve"> IGHV5-9-1</t>
  </si>
  <si>
    <t>IGHV1-75</t>
  </si>
  <si>
    <t>IGHV1-74</t>
  </si>
  <si>
    <t>IGHV3-2</t>
  </si>
  <si>
    <t>IGHD3-3</t>
  </si>
  <si>
    <t>IGHV5-6-3</t>
  </si>
  <si>
    <t>IGHV14-1</t>
  </si>
  <si>
    <t>IGHD2-14</t>
  </si>
  <si>
    <t>IGHV5-4</t>
  </si>
  <si>
    <t>IGHV1-7</t>
  </si>
  <si>
    <t>IGHD2-2</t>
  </si>
  <si>
    <t>IGHV5-9-3</t>
  </si>
  <si>
    <t>IGHD2-4</t>
  </si>
  <si>
    <t>IGHV8-8</t>
  </si>
  <si>
    <t>IGHV9-2-1</t>
  </si>
  <si>
    <t>IGHV1-18</t>
  </si>
  <si>
    <t>IGHV9-3-1</t>
  </si>
  <si>
    <t>IGHV8-12</t>
  </si>
  <si>
    <t>IGHD2-1</t>
  </si>
  <si>
    <t>IGHD2-10</t>
  </si>
  <si>
    <t>IGHD2-5</t>
  </si>
  <si>
    <t>IGHD1-3</t>
  </si>
  <si>
    <t>IGHV5-6-4</t>
  </si>
  <si>
    <t>IGHV1-72</t>
  </si>
  <si>
    <t>IGHV1-64</t>
  </si>
  <si>
    <t>IGHV1-76</t>
  </si>
  <si>
    <t>IGHV1-31</t>
  </si>
  <si>
    <t>IGHV1-50</t>
  </si>
  <si>
    <t>IGHV2-4</t>
  </si>
  <si>
    <t>IGHV9-2</t>
  </si>
  <si>
    <t>IGHV6-6</t>
  </si>
  <si>
    <t>IGHV1-58</t>
  </si>
  <si>
    <t>IGHV7-1</t>
  </si>
  <si>
    <t>IGHV2-9-1</t>
  </si>
  <si>
    <t>IGHV1-80</t>
  </si>
  <si>
    <t>IGHV1-81</t>
  </si>
  <si>
    <t>IGHV1-39</t>
  </si>
  <si>
    <t>IGHV2-2</t>
  </si>
  <si>
    <t>IGHV1-52</t>
  </si>
  <si>
    <t>IGHV1-62-3</t>
  </si>
  <si>
    <t>IGHV1-85</t>
  </si>
  <si>
    <t>IGHV1-82</t>
  </si>
  <si>
    <t>IGHV1-77</t>
  </si>
  <si>
    <t>IGHV10-3</t>
  </si>
  <si>
    <t>IGHV14-2</t>
  </si>
  <si>
    <t>IGHV1-12</t>
  </si>
  <si>
    <t>IGHV1-63</t>
  </si>
  <si>
    <t>IGHV5-6</t>
  </si>
  <si>
    <t>IGHV1-43</t>
  </si>
  <si>
    <t>IGHV14-4</t>
  </si>
  <si>
    <t>IGHV9-4</t>
  </si>
  <si>
    <t>IGHV1-54</t>
  </si>
  <si>
    <t>IGHV10-1</t>
  </si>
  <si>
    <t>IGHV5-17</t>
  </si>
  <si>
    <t>IGHV1-56</t>
  </si>
  <si>
    <t>IGHV3-5</t>
  </si>
  <si>
    <t>Total Allergies count</t>
  </si>
  <si>
    <t>Allergies count</t>
  </si>
  <si>
    <t>Naïve count:</t>
  </si>
  <si>
    <t>Total naïve count</t>
  </si>
  <si>
    <t>Parasite count</t>
  </si>
  <si>
    <t>https://doi.org/10.1038/s41467-022-29032-x</t>
  </si>
  <si>
    <t>IGHV1S81</t>
  </si>
  <si>
    <t>IGHV1-14</t>
  </si>
  <si>
    <t>IGHV2-6-7</t>
  </si>
  <si>
    <t>IGHV2-3</t>
  </si>
  <si>
    <t>IGHV1-37</t>
  </si>
  <si>
    <t>IGHV4-1</t>
  </si>
  <si>
    <t>IGHV1-67</t>
  </si>
  <si>
    <t>IGHV8-11</t>
  </si>
  <si>
    <t>IGHV5-12</t>
  </si>
  <si>
    <t>IGHV10S3</t>
  </si>
  <si>
    <t>IGHV1S29</t>
  </si>
  <si>
    <t>IGHV7-3</t>
  </si>
  <si>
    <t>IGHV1-87</t>
  </si>
  <si>
    <t>IGHV2-5</t>
  </si>
  <si>
    <t>IGHV11-2</t>
  </si>
  <si>
    <t>IGHV2-9-2</t>
  </si>
  <si>
    <t>IGHV5-6-5</t>
  </si>
  <si>
    <t>IGHV1-15</t>
  </si>
  <si>
    <t>IGHV1S34</t>
  </si>
  <si>
    <t>IGHV1S56</t>
  </si>
  <si>
    <t>IGHV5-9-4</t>
  </si>
  <si>
    <t>IGHV2-4-1</t>
  </si>
  <si>
    <t>IGHV1S135</t>
  </si>
  <si>
    <t>IGHV1S137</t>
  </si>
  <si>
    <t>IGHV1S127</t>
  </si>
  <si>
    <t>IGHV2-6-1</t>
  </si>
  <si>
    <t>IGHV5-6-2</t>
  </si>
  <si>
    <t>IGHV1S53</t>
  </si>
  <si>
    <t>IGHV2-6-5</t>
  </si>
  <si>
    <t>IGHV3-8</t>
  </si>
  <si>
    <t>IGHV8-5</t>
  </si>
  <si>
    <t>IGHV1-47</t>
  </si>
  <si>
    <t>IGHV1-62-2</t>
  </si>
  <si>
    <t>IGHV9-1</t>
  </si>
  <si>
    <t>IGHV1S130</t>
  </si>
  <si>
    <t>IGHV5-12-1</t>
  </si>
  <si>
    <t>IGHV1S22</t>
  </si>
  <si>
    <t>IGHV2-5-1</t>
  </si>
  <si>
    <t>IGHV5-12-2</t>
  </si>
  <si>
    <t>IGHV6-7</t>
  </si>
  <si>
    <t>IGHV1-20</t>
  </si>
  <si>
    <t>IGHV1S45</t>
  </si>
  <si>
    <t>IGHV2-2-2</t>
  </si>
  <si>
    <t>IGHV8-8-1</t>
  </si>
  <si>
    <t>IGHV1S126</t>
  </si>
  <si>
    <t>IGHV2-6-4</t>
  </si>
  <si>
    <t>IGHV5-15</t>
  </si>
  <si>
    <t>IGHV12-1-1</t>
  </si>
  <si>
    <t>IGHD1-2</t>
  </si>
  <si>
    <t>IGHD3-1</t>
  </si>
  <si>
    <t>IGHD5-1</t>
  </si>
  <si>
    <t>IGHD6-1</t>
  </si>
  <si>
    <t>IGHD5-5</t>
  </si>
  <si>
    <t>IGHD2-9</t>
  </si>
  <si>
    <t>IGHD2-12</t>
  </si>
  <si>
    <t>IGHD2-13</t>
  </si>
  <si>
    <t>Total naïve count plus big set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</si>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</sst>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0" borderId="0" xfId="1"/>
    <xf numFmtId="0" fontId="3" fillId="0" borderId="0" xfId="0" applyFont="1"/>
    <xf numFmtId="0" fontId="0" fillId="0" borderId="0" xfId="0" applyFill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 applyBorder="1"/>
    <xf numFmtId="0" fontId="0" fillId="0" borderId="7" xfId="0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Fill="1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467-022-29032-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467-022-29032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71BC-DBF5-DB4C-9C19-50B7236A589D}">
  <dimension ref="A1:H63"/>
  <sheetViews>
    <sheetView tabSelected="1" topLeftCell="A31" workbookViewId="0">
      <selection activeCell="A58" sqref="A58"/>
    </sheetView>
  </sheetViews>
  <sheetFormatPr baseColWidth="10" defaultRowHeight="16" x14ac:dyDescent="0.2"/>
  <cols>
    <col min="1" max="1" width="20.5" customWidth="1"/>
    <col min="2" max="2" width="23.83203125" customWidth="1"/>
    <col min="3" max="3" width="25.1640625" customWidth="1"/>
    <col min="5" max="5" width="15.83203125" customWidth="1"/>
    <col min="6" max="6" width="16" customWidth="1"/>
    <col min="7" max="7" width="15.6640625" customWidth="1"/>
    <col min="8" max="8" width="17.6640625" customWidth="1"/>
  </cols>
  <sheetData>
    <row r="1" spans="1:8" x14ac:dyDescent="0.2">
      <c r="A1" t="s">
        <v>0</v>
      </c>
      <c r="B1" t="s">
        <v>17</v>
      </c>
      <c r="C1" t="s">
        <v>33</v>
      </c>
      <c r="D1" t="s">
        <v>4</v>
      </c>
      <c r="E1" t="s">
        <v>5</v>
      </c>
      <c r="F1" t="s">
        <v>6</v>
      </c>
      <c r="G1" t="s">
        <v>7</v>
      </c>
      <c r="H1" t="s">
        <v>84</v>
      </c>
    </row>
    <row r="3" spans="1:8" s="3" customFormat="1" x14ac:dyDescent="0.2">
      <c r="A3" s="2" t="s">
        <v>8</v>
      </c>
      <c r="C3" s="3" t="s">
        <v>18</v>
      </c>
      <c r="D3" s="3">
        <f>SUM(D4:D7)</f>
        <v>71</v>
      </c>
      <c r="E3" s="3">
        <f t="shared" ref="E3:G3" si="0">SUM(E4:E7)</f>
        <v>71</v>
      </c>
      <c r="F3" s="3">
        <f t="shared" si="0"/>
        <v>9</v>
      </c>
      <c r="G3" s="3">
        <f t="shared" si="0"/>
        <v>71</v>
      </c>
    </row>
    <row r="4" spans="1:8" x14ac:dyDescent="0.2">
      <c r="B4" t="s">
        <v>19</v>
      </c>
      <c r="C4" t="s">
        <v>34</v>
      </c>
      <c r="D4">
        <v>18</v>
      </c>
      <c r="E4">
        <v>18</v>
      </c>
      <c r="F4">
        <v>3</v>
      </c>
      <c r="G4">
        <v>18</v>
      </c>
    </row>
    <row r="5" spans="1:8" x14ac:dyDescent="0.2">
      <c r="B5" t="s">
        <v>20</v>
      </c>
      <c r="C5" t="s">
        <v>34</v>
      </c>
      <c r="D5">
        <v>23</v>
      </c>
      <c r="E5">
        <v>23</v>
      </c>
      <c r="F5">
        <v>3</v>
      </c>
      <c r="G5">
        <v>23</v>
      </c>
    </row>
    <row r="6" spans="1:8" x14ac:dyDescent="0.2">
      <c r="B6" t="s">
        <v>21</v>
      </c>
      <c r="C6" t="s">
        <v>23</v>
      </c>
      <c r="D6">
        <v>20</v>
      </c>
      <c r="E6">
        <v>20</v>
      </c>
      <c r="F6">
        <v>2</v>
      </c>
      <c r="G6">
        <v>20</v>
      </c>
    </row>
    <row r="7" spans="1:8" x14ac:dyDescent="0.2">
      <c r="B7" t="s">
        <v>22</v>
      </c>
      <c r="C7" t="s">
        <v>23</v>
      </c>
      <c r="D7">
        <v>10</v>
      </c>
      <c r="E7">
        <v>10</v>
      </c>
      <c r="F7">
        <v>1</v>
      </c>
      <c r="G7">
        <v>10</v>
      </c>
    </row>
    <row r="9" spans="1:8" s="3" customFormat="1" x14ac:dyDescent="0.2">
      <c r="A9" s="2" t="s">
        <v>72</v>
      </c>
      <c r="C9" s="3" t="s">
        <v>24</v>
      </c>
      <c r="D9" s="3">
        <f>SUM(D10:D15)</f>
        <v>22</v>
      </c>
      <c r="E9" s="3">
        <f t="shared" ref="E9:G9" si="1">SUM(E10:E15)</f>
        <v>22</v>
      </c>
      <c r="F9" s="3">
        <f t="shared" si="1"/>
        <v>22</v>
      </c>
      <c r="G9" s="3">
        <f t="shared" si="1"/>
        <v>22</v>
      </c>
    </row>
    <row r="10" spans="1:8" x14ac:dyDescent="0.2">
      <c r="B10" t="s">
        <v>25</v>
      </c>
      <c r="C10" t="s">
        <v>31</v>
      </c>
      <c r="D10">
        <v>1</v>
      </c>
      <c r="E10">
        <v>1</v>
      </c>
      <c r="F10">
        <v>1</v>
      </c>
      <c r="G10">
        <v>1</v>
      </c>
    </row>
    <row r="11" spans="1:8" x14ac:dyDescent="0.2">
      <c r="B11" t="s">
        <v>26</v>
      </c>
      <c r="C11" t="s">
        <v>31</v>
      </c>
      <c r="D11">
        <v>3</v>
      </c>
      <c r="E11">
        <v>3</v>
      </c>
      <c r="F11">
        <v>3</v>
      </c>
      <c r="G11">
        <v>3</v>
      </c>
    </row>
    <row r="12" spans="1:8" x14ac:dyDescent="0.2">
      <c r="B12" t="s">
        <v>27</v>
      </c>
      <c r="C12" t="s">
        <v>31</v>
      </c>
      <c r="D12">
        <v>3</v>
      </c>
      <c r="E12">
        <v>3</v>
      </c>
      <c r="F12">
        <v>3</v>
      </c>
      <c r="G12">
        <v>3</v>
      </c>
    </row>
    <row r="13" spans="1:8" x14ac:dyDescent="0.2">
      <c r="B13" t="s">
        <v>28</v>
      </c>
      <c r="C13" t="s">
        <v>31</v>
      </c>
      <c r="D13">
        <v>2</v>
      </c>
      <c r="E13">
        <v>2</v>
      </c>
      <c r="F13">
        <v>2</v>
      </c>
      <c r="G13">
        <v>2</v>
      </c>
    </row>
    <row r="14" spans="1:8" x14ac:dyDescent="0.2">
      <c r="B14" t="s">
        <v>29</v>
      </c>
      <c r="C14" t="s">
        <v>32</v>
      </c>
      <c r="D14">
        <v>10</v>
      </c>
      <c r="E14">
        <v>10</v>
      </c>
      <c r="F14">
        <v>10</v>
      </c>
      <c r="G14">
        <v>10</v>
      </c>
    </row>
    <row r="15" spans="1:8" x14ac:dyDescent="0.2">
      <c r="B15" t="s">
        <v>30</v>
      </c>
      <c r="C15" t="s">
        <v>32</v>
      </c>
      <c r="D15">
        <v>3</v>
      </c>
      <c r="E15">
        <v>3</v>
      </c>
      <c r="F15">
        <v>3</v>
      </c>
      <c r="G15">
        <v>3</v>
      </c>
    </row>
    <row r="17" spans="1:7" s="3" customFormat="1" x14ac:dyDescent="0.2">
      <c r="A17" s="2" t="s">
        <v>73</v>
      </c>
      <c r="C17" s="3" t="s">
        <v>35</v>
      </c>
      <c r="D17" s="3">
        <f>SUM(D18:D22)</f>
        <v>46</v>
      </c>
      <c r="E17" s="3">
        <f t="shared" ref="E17:G17" si="2">SUM(E18:E22)</f>
        <v>28</v>
      </c>
      <c r="F17" s="3">
        <f t="shared" si="2"/>
        <v>4</v>
      </c>
      <c r="G17" s="3">
        <f t="shared" si="2"/>
        <v>46</v>
      </c>
    </row>
    <row r="18" spans="1:7" x14ac:dyDescent="0.2">
      <c r="B18" t="s">
        <v>36</v>
      </c>
      <c r="C18" t="s">
        <v>43</v>
      </c>
      <c r="D18">
        <v>11</v>
      </c>
      <c r="E18">
        <v>11</v>
      </c>
      <c r="F18">
        <v>0</v>
      </c>
      <c r="G18">
        <v>11</v>
      </c>
    </row>
    <row r="19" spans="1:7" x14ac:dyDescent="0.2">
      <c r="B19" t="s">
        <v>37</v>
      </c>
      <c r="C19" t="s">
        <v>41</v>
      </c>
      <c r="D19" s="4">
        <v>29</v>
      </c>
      <c r="E19" s="4">
        <v>13</v>
      </c>
      <c r="F19">
        <v>4</v>
      </c>
      <c r="G19">
        <v>29</v>
      </c>
    </row>
    <row r="20" spans="1:7" x14ac:dyDescent="0.2">
      <c r="B20" t="s">
        <v>38</v>
      </c>
      <c r="C20" t="s">
        <v>42</v>
      </c>
      <c r="D20">
        <v>2</v>
      </c>
      <c r="E20">
        <v>2</v>
      </c>
      <c r="F20">
        <v>0</v>
      </c>
      <c r="G20">
        <v>2</v>
      </c>
    </row>
    <row r="21" spans="1:7" x14ac:dyDescent="0.2">
      <c r="B21" t="s">
        <v>39</v>
      </c>
      <c r="C21" t="s">
        <v>44</v>
      </c>
      <c r="D21" s="4">
        <v>2</v>
      </c>
      <c r="E21" s="4">
        <v>0</v>
      </c>
      <c r="F21">
        <v>0</v>
      </c>
      <c r="G21">
        <v>2</v>
      </c>
    </row>
    <row r="22" spans="1:7" x14ac:dyDescent="0.2">
      <c r="B22" t="s">
        <v>40</v>
      </c>
      <c r="C22" t="s">
        <v>45</v>
      </c>
      <c r="D22">
        <v>2</v>
      </c>
      <c r="E22">
        <v>2</v>
      </c>
      <c r="F22">
        <v>0</v>
      </c>
      <c r="G22">
        <v>2</v>
      </c>
    </row>
    <row r="24" spans="1:7" s="3" customFormat="1" x14ac:dyDescent="0.2">
      <c r="A24" s="2" t="s">
        <v>11</v>
      </c>
      <c r="C24" s="3" t="s">
        <v>46</v>
      </c>
      <c r="D24" s="3">
        <f>SUM(D25:D27)</f>
        <v>37</v>
      </c>
      <c r="E24" s="3">
        <f t="shared" ref="E24:G24" si="3">SUM(E25:E27)</f>
        <v>37</v>
      </c>
      <c r="F24" s="3">
        <f t="shared" si="3"/>
        <v>10</v>
      </c>
      <c r="G24" s="3">
        <f t="shared" si="3"/>
        <v>37</v>
      </c>
    </row>
    <row r="25" spans="1:7" x14ac:dyDescent="0.2">
      <c r="B25" t="s">
        <v>47</v>
      </c>
      <c r="C25" t="s">
        <v>52</v>
      </c>
      <c r="D25">
        <v>5</v>
      </c>
      <c r="E25">
        <v>5</v>
      </c>
      <c r="F25">
        <v>0</v>
      </c>
      <c r="G25">
        <v>5</v>
      </c>
    </row>
    <row r="26" spans="1:7" x14ac:dyDescent="0.2">
      <c r="B26" t="s">
        <v>48</v>
      </c>
      <c r="C26" t="s">
        <v>51</v>
      </c>
      <c r="D26">
        <v>14</v>
      </c>
      <c r="E26">
        <v>14</v>
      </c>
      <c r="F26">
        <v>3</v>
      </c>
      <c r="G26">
        <v>14</v>
      </c>
    </row>
    <row r="27" spans="1:7" x14ac:dyDescent="0.2">
      <c r="B27" t="s">
        <v>49</v>
      </c>
      <c r="C27" t="s">
        <v>50</v>
      </c>
      <c r="D27">
        <v>18</v>
      </c>
      <c r="E27">
        <v>18</v>
      </c>
      <c r="F27">
        <v>7</v>
      </c>
      <c r="G27">
        <v>18</v>
      </c>
    </row>
    <row r="29" spans="1:7" s="3" customFormat="1" x14ac:dyDescent="0.2">
      <c r="A29" s="2" t="s">
        <v>12</v>
      </c>
      <c r="C29" s="3" t="s">
        <v>53</v>
      </c>
      <c r="D29" s="3">
        <f>SUM(D30:D31)</f>
        <v>25</v>
      </c>
      <c r="E29" s="3">
        <f t="shared" ref="E29:G29" si="4">SUM(E30:E31)</f>
        <v>25</v>
      </c>
      <c r="F29" s="3">
        <f t="shared" si="4"/>
        <v>4</v>
      </c>
      <c r="G29" s="3">
        <f t="shared" si="4"/>
        <v>25</v>
      </c>
    </row>
    <row r="30" spans="1:7" x14ac:dyDescent="0.2">
      <c r="B30" t="s">
        <v>54</v>
      </c>
      <c r="C30" s="1" t="s">
        <v>62</v>
      </c>
      <c r="D30">
        <v>15</v>
      </c>
      <c r="E30">
        <v>15</v>
      </c>
      <c r="F30">
        <v>1</v>
      </c>
      <c r="G30">
        <v>15</v>
      </c>
    </row>
    <row r="31" spans="1:7" x14ac:dyDescent="0.2">
      <c r="B31" t="s">
        <v>55</v>
      </c>
      <c r="C31" s="1" t="s">
        <v>62</v>
      </c>
      <c r="D31">
        <v>10</v>
      </c>
      <c r="E31">
        <v>10</v>
      </c>
      <c r="F31">
        <v>3</v>
      </c>
      <c r="G31">
        <v>10</v>
      </c>
    </row>
    <row r="33" spans="1:8" s="3" customFormat="1" x14ac:dyDescent="0.2">
      <c r="A33" s="2" t="s">
        <v>13</v>
      </c>
      <c r="C33" s="3" t="s">
        <v>53</v>
      </c>
      <c r="D33" s="3">
        <v>6</v>
      </c>
      <c r="E33" s="3">
        <v>6</v>
      </c>
      <c r="F33" s="3">
        <v>6</v>
      </c>
      <c r="G33" s="3">
        <v>6</v>
      </c>
      <c r="H33" s="3" t="s">
        <v>83</v>
      </c>
    </row>
    <row r="34" spans="1:8" x14ac:dyDescent="0.2">
      <c r="B34" t="s">
        <v>56</v>
      </c>
      <c r="C34" t="s">
        <v>62</v>
      </c>
      <c r="D34">
        <v>1</v>
      </c>
      <c r="E34">
        <v>1</v>
      </c>
      <c r="F34">
        <v>1</v>
      </c>
      <c r="G34">
        <v>1</v>
      </c>
    </row>
    <row r="35" spans="1:8" x14ac:dyDescent="0.2">
      <c r="B35" t="s">
        <v>57</v>
      </c>
      <c r="C35" t="s">
        <v>62</v>
      </c>
      <c r="D35">
        <v>1</v>
      </c>
      <c r="E35">
        <v>1</v>
      </c>
      <c r="F35">
        <v>1</v>
      </c>
      <c r="G35">
        <v>1</v>
      </c>
    </row>
    <row r="36" spans="1:8" x14ac:dyDescent="0.2">
      <c r="B36" t="s">
        <v>58</v>
      </c>
      <c r="C36" t="s">
        <v>62</v>
      </c>
      <c r="D36">
        <v>1</v>
      </c>
      <c r="E36">
        <v>1</v>
      </c>
      <c r="F36">
        <v>1</v>
      </c>
      <c r="G36">
        <v>1</v>
      </c>
    </row>
    <row r="37" spans="1:8" x14ac:dyDescent="0.2">
      <c r="B37" t="s">
        <v>59</v>
      </c>
      <c r="C37" t="s">
        <v>62</v>
      </c>
      <c r="D37">
        <v>1</v>
      </c>
      <c r="E37">
        <v>1</v>
      </c>
      <c r="F37">
        <v>1</v>
      </c>
      <c r="G37">
        <v>1</v>
      </c>
    </row>
    <row r="38" spans="1:8" x14ac:dyDescent="0.2">
      <c r="B38" t="s">
        <v>60</v>
      </c>
      <c r="C38" t="s">
        <v>62</v>
      </c>
      <c r="D38">
        <v>1</v>
      </c>
      <c r="E38">
        <v>1</v>
      </c>
      <c r="F38">
        <v>1</v>
      </c>
      <c r="G38">
        <v>1</v>
      </c>
    </row>
    <row r="39" spans="1:8" x14ac:dyDescent="0.2">
      <c r="B39" t="s">
        <v>61</v>
      </c>
      <c r="C39" t="s">
        <v>62</v>
      </c>
      <c r="D39">
        <v>1</v>
      </c>
      <c r="E39">
        <v>1</v>
      </c>
      <c r="F39">
        <v>1</v>
      </c>
      <c r="G39">
        <v>1</v>
      </c>
    </row>
    <row r="41" spans="1:8" s="3" customFormat="1" x14ac:dyDescent="0.2">
      <c r="A41" s="2" t="s">
        <v>14</v>
      </c>
      <c r="C41" s="3" t="s">
        <v>66</v>
      </c>
      <c r="D41" s="3">
        <f>SUM(D42:D43)</f>
        <v>4</v>
      </c>
      <c r="E41" s="3">
        <f t="shared" ref="E41:G41" si="5">SUM(E42:E43)</f>
        <v>4</v>
      </c>
      <c r="F41" s="3">
        <f t="shared" si="5"/>
        <v>1</v>
      </c>
      <c r="G41" s="3">
        <f t="shared" si="5"/>
        <v>4</v>
      </c>
    </row>
    <row r="42" spans="1:8" x14ac:dyDescent="0.2">
      <c r="B42" t="s">
        <v>64</v>
      </c>
      <c r="C42" t="s">
        <v>63</v>
      </c>
      <c r="D42">
        <v>2</v>
      </c>
      <c r="E42">
        <v>2</v>
      </c>
      <c r="F42">
        <v>0</v>
      </c>
      <c r="G42">
        <v>2</v>
      </c>
    </row>
    <row r="43" spans="1:8" x14ac:dyDescent="0.2">
      <c r="B43" t="s">
        <v>65</v>
      </c>
      <c r="C43" t="s">
        <v>63</v>
      </c>
      <c r="D43">
        <v>2</v>
      </c>
      <c r="E43">
        <v>2</v>
      </c>
      <c r="F43">
        <v>1</v>
      </c>
      <c r="G43">
        <v>2</v>
      </c>
    </row>
    <row r="45" spans="1:8" s="3" customFormat="1" x14ac:dyDescent="0.2">
      <c r="A45" s="2" t="s">
        <v>71</v>
      </c>
      <c r="C45" s="3" t="s">
        <v>67</v>
      </c>
      <c r="D45" s="3">
        <f>SUM(D46:D48)</f>
        <v>101</v>
      </c>
      <c r="E45" s="3">
        <f t="shared" ref="E45:G45" si="6">SUM(E46:E48)</f>
        <v>101</v>
      </c>
      <c r="F45" s="3">
        <f t="shared" si="6"/>
        <v>29</v>
      </c>
      <c r="G45" s="3">
        <f t="shared" si="6"/>
        <v>101</v>
      </c>
    </row>
    <row r="46" spans="1:8" x14ac:dyDescent="0.2">
      <c r="B46" t="s">
        <v>68</v>
      </c>
      <c r="C46" t="s">
        <v>62</v>
      </c>
      <c r="D46">
        <v>54</v>
      </c>
      <c r="E46">
        <v>54</v>
      </c>
      <c r="F46">
        <v>7</v>
      </c>
      <c r="G46">
        <v>54</v>
      </c>
    </row>
    <row r="47" spans="1:8" x14ac:dyDescent="0.2">
      <c r="B47" t="s">
        <v>69</v>
      </c>
      <c r="C47" t="s">
        <v>62</v>
      </c>
      <c r="D47">
        <v>29</v>
      </c>
      <c r="E47">
        <v>29</v>
      </c>
      <c r="F47">
        <v>4</v>
      </c>
      <c r="G47">
        <v>29</v>
      </c>
    </row>
    <row r="48" spans="1:8" x14ac:dyDescent="0.2">
      <c r="B48" t="s">
        <v>70</v>
      </c>
      <c r="C48" t="s">
        <v>62</v>
      </c>
      <c r="D48">
        <v>18</v>
      </c>
      <c r="E48">
        <v>18</v>
      </c>
      <c r="F48">
        <v>18</v>
      </c>
      <c r="G48">
        <v>18</v>
      </c>
    </row>
    <row r="50" spans="1:7" s="3" customFormat="1" x14ac:dyDescent="0.2">
      <c r="A50" s="2" t="s">
        <v>16</v>
      </c>
      <c r="C50" s="3" t="s">
        <v>80</v>
      </c>
      <c r="D50" s="3">
        <f>SUM(D51:D56)</f>
        <v>83</v>
      </c>
      <c r="E50" s="3">
        <f t="shared" ref="E50:G50" si="7">SUM(E51:E56)</f>
        <v>83</v>
      </c>
      <c r="F50" s="3">
        <f t="shared" si="7"/>
        <v>3</v>
      </c>
      <c r="G50" s="3">
        <f t="shared" si="7"/>
        <v>83</v>
      </c>
    </row>
    <row r="51" spans="1:7" x14ac:dyDescent="0.2">
      <c r="B51" t="s">
        <v>74</v>
      </c>
      <c r="C51" t="s">
        <v>81</v>
      </c>
      <c r="D51">
        <v>27</v>
      </c>
      <c r="E51">
        <v>27</v>
      </c>
      <c r="F51">
        <v>0</v>
      </c>
      <c r="G51">
        <v>27</v>
      </c>
    </row>
    <row r="52" spans="1:7" x14ac:dyDescent="0.2">
      <c r="B52" t="s">
        <v>75</v>
      </c>
      <c r="C52" t="s">
        <v>81</v>
      </c>
      <c r="D52">
        <v>9</v>
      </c>
      <c r="E52">
        <v>9</v>
      </c>
      <c r="F52">
        <v>1</v>
      </c>
      <c r="G52">
        <v>9</v>
      </c>
    </row>
    <row r="53" spans="1:7" x14ac:dyDescent="0.2">
      <c r="B53" t="s">
        <v>76</v>
      </c>
      <c r="C53" t="s">
        <v>81</v>
      </c>
      <c r="D53">
        <v>14</v>
      </c>
      <c r="E53">
        <v>14</v>
      </c>
      <c r="F53">
        <v>1</v>
      </c>
      <c r="G53">
        <v>14</v>
      </c>
    </row>
    <row r="54" spans="1:7" x14ac:dyDescent="0.2">
      <c r="B54" t="s">
        <v>77</v>
      </c>
      <c r="C54" t="s">
        <v>82</v>
      </c>
      <c r="D54">
        <v>10</v>
      </c>
      <c r="E54">
        <v>10</v>
      </c>
      <c r="F54">
        <v>0</v>
      </c>
      <c r="G54">
        <v>10</v>
      </c>
    </row>
    <row r="55" spans="1:7" x14ac:dyDescent="0.2">
      <c r="B55" t="s">
        <v>78</v>
      </c>
      <c r="C55" t="s">
        <v>82</v>
      </c>
      <c r="D55">
        <v>9</v>
      </c>
      <c r="E55">
        <v>9</v>
      </c>
      <c r="F55">
        <v>0</v>
      </c>
      <c r="G55">
        <v>9</v>
      </c>
    </row>
    <row r="56" spans="1:7" x14ac:dyDescent="0.2">
      <c r="B56" t="s">
        <v>79</v>
      </c>
      <c r="C56" t="s">
        <v>82</v>
      </c>
      <c r="D56">
        <v>14</v>
      </c>
      <c r="E56">
        <v>14</v>
      </c>
      <c r="F56">
        <v>1</v>
      </c>
      <c r="G56">
        <v>14</v>
      </c>
    </row>
    <row r="58" spans="1:7" x14ac:dyDescent="0.2">
      <c r="A58" s="5" t="s">
        <v>188</v>
      </c>
      <c r="D58">
        <v>613</v>
      </c>
    </row>
    <row r="61" spans="1:7" x14ac:dyDescent="0.2">
      <c r="A61" t="s">
        <v>85</v>
      </c>
      <c r="D61">
        <f>SUM(D3,D24,D29,D33,D41,D50)</f>
        <v>226</v>
      </c>
    </row>
    <row r="62" spans="1:7" x14ac:dyDescent="0.2">
      <c r="A62" t="s">
        <v>86</v>
      </c>
      <c r="D62">
        <f>SUM(D61,D17)</f>
        <v>272</v>
      </c>
    </row>
    <row r="63" spans="1:7" x14ac:dyDescent="0.2">
      <c r="A63" t="s">
        <v>87</v>
      </c>
      <c r="D63">
        <f>SUM(D62,D45,D9)</f>
        <v>395</v>
      </c>
      <c r="E63">
        <f>SUM(E3,E9,E17,E24,E29,E33,E41,E45,E50)</f>
        <v>377</v>
      </c>
      <c r="F63">
        <f>SUM(F3,F9,F17,F24,F29,F33,F41,F45,F50)</f>
        <v>88</v>
      </c>
      <c r="G63">
        <f>SUM(G3,G9,G17,G24,G29,G33,G41,G45,G50)</f>
        <v>395</v>
      </c>
    </row>
  </sheetData>
  <phoneticPr fontId="1" type="noConversion"/>
  <hyperlinks>
    <hyperlink ref="A58" r:id="rId1" xr:uid="{62BAEE6E-6B66-A94D-9387-F559C2FF5BC8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6C54-A3D0-834C-A4E2-30E38795124F}">
  <dimension ref="A1:AK488"/>
  <sheetViews>
    <sheetView topLeftCell="W1" workbookViewId="0">
      <selection activeCell="AK2" sqref="AK2"/>
    </sheetView>
  </sheetViews>
  <sheetFormatPr baseColWidth="10" defaultRowHeight="16" x14ac:dyDescent="0.2"/>
  <cols>
    <col min="1" max="1" width="13.6640625" customWidth="1"/>
    <col min="2" max="2" width="22.1640625" customWidth="1"/>
    <col min="4" max="4" width="16" customWidth="1"/>
    <col min="10" max="10" width="16" customWidth="1"/>
    <col min="13" max="13" width="21.5" customWidth="1"/>
    <col min="25" max="25" width="16" customWidth="1"/>
  </cols>
  <sheetData>
    <row r="1" spans="1:37" x14ac:dyDescent="0.2">
      <c r="A1" t="s">
        <v>0</v>
      </c>
      <c r="B1" t="s">
        <v>17</v>
      </c>
      <c r="C1" t="s">
        <v>1</v>
      </c>
      <c r="D1" t="s">
        <v>2</v>
      </c>
      <c r="E1" t="s">
        <v>3</v>
      </c>
      <c r="H1" t="s">
        <v>185</v>
      </c>
      <c r="I1" t="s">
        <v>1</v>
      </c>
      <c r="J1" t="s">
        <v>2</v>
      </c>
      <c r="K1" t="s">
        <v>3</v>
      </c>
      <c r="M1" t="s">
        <v>184</v>
      </c>
      <c r="N1" t="s">
        <v>1</v>
      </c>
      <c r="O1" t="s">
        <v>2</v>
      </c>
      <c r="P1" t="s">
        <v>3</v>
      </c>
      <c r="R1" t="s">
        <v>183</v>
      </c>
      <c r="S1" t="s">
        <v>1</v>
      </c>
      <c r="T1" t="s">
        <v>2</v>
      </c>
      <c r="U1" t="s">
        <v>3</v>
      </c>
      <c r="W1" t="s">
        <v>186</v>
      </c>
      <c r="X1" t="s">
        <v>1</v>
      </c>
      <c r="Y1" t="s">
        <v>2</v>
      </c>
      <c r="Z1" t="s">
        <v>3</v>
      </c>
      <c r="AC1" t="s">
        <v>18</v>
      </c>
      <c r="AD1" t="s">
        <v>1</v>
      </c>
      <c r="AE1" t="s">
        <v>2</v>
      </c>
      <c r="AF1" t="s">
        <v>3</v>
      </c>
      <c r="AH1" t="s">
        <v>187</v>
      </c>
      <c r="AI1" t="s">
        <v>1</v>
      </c>
      <c r="AJ1" t="s">
        <v>2</v>
      </c>
      <c r="AK1" t="s">
        <v>3</v>
      </c>
    </row>
    <row r="2" spans="1:37" x14ac:dyDescent="0.2">
      <c r="A2" t="s">
        <v>8</v>
      </c>
      <c r="B2" t="s">
        <v>19</v>
      </c>
      <c r="C2" t="s">
        <v>88</v>
      </c>
      <c r="D2" t="s">
        <v>89</v>
      </c>
      <c r="E2">
        <v>3</v>
      </c>
      <c r="I2" t="s">
        <v>88</v>
      </c>
      <c r="J2" t="s">
        <v>89</v>
      </c>
      <c r="K2">
        <v>3</v>
      </c>
      <c r="N2" t="s">
        <v>88</v>
      </c>
      <c r="O2" t="s">
        <v>140</v>
      </c>
      <c r="P2">
        <v>2</v>
      </c>
      <c r="S2" t="s">
        <v>100</v>
      </c>
      <c r="T2" t="s">
        <v>124</v>
      </c>
      <c r="U2">
        <f>SUMIF(O:O, T2, P:P)</f>
        <v>2</v>
      </c>
      <c r="X2" t="s">
        <v>100</v>
      </c>
      <c r="Y2" t="s">
        <v>125</v>
      </c>
      <c r="Z2">
        <f>SUMIF(J:J, Y2, K:K)</f>
        <v>31</v>
      </c>
      <c r="AD2" t="s">
        <v>88</v>
      </c>
      <c r="AE2" t="s">
        <v>89</v>
      </c>
      <c r="AF2">
        <v>3</v>
      </c>
      <c r="AI2" t="s">
        <v>100</v>
      </c>
      <c r="AJ2" t="s">
        <v>102</v>
      </c>
      <c r="AK2">
        <f>SUMIF(AE:AE, AJ2, AF:AF)</f>
        <v>4</v>
      </c>
    </row>
    <row r="3" spans="1:37" x14ac:dyDescent="0.2">
      <c r="C3" t="s">
        <v>88</v>
      </c>
      <c r="D3" t="s">
        <v>90</v>
      </c>
      <c r="E3">
        <v>3</v>
      </c>
      <c r="I3" t="s">
        <v>88</v>
      </c>
      <c r="J3" t="s">
        <v>90</v>
      </c>
      <c r="K3">
        <v>3</v>
      </c>
      <c r="N3" t="s">
        <v>104</v>
      </c>
      <c r="O3" t="s">
        <v>106</v>
      </c>
      <c r="P3">
        <v>2</v>
      </c>
      <c r="S3" t="s">
        <v>100</v>
      </c>
      <c r="T3" t="s">
        <v>125</v>
      </c>
      <c r="U3">
        <f>SUMIF(O:O, T3, P:P)</f>
        <v>2</v>
      </c>
      <c r="X3" t="s">
        <v>100</v>
      </c>
      <c r="Y3" t="s">
        <v>103</v>
      </c>
      <c r="Z3">
        <f t="shared" ref="Z3:Z15" si="0">SUMIF(J:J, Y3, K:K)</f>
        <v>7</v>
      </c>
      <c r="AD3" t="s">
        <v>88</v>
      </c>
      <c r="AE3" t="s">
        <v>90</v>
      </c>
      <c r="AF3">
        <v>3</v>
      </c>
      <c r="AI3" t="s">
        <v>100</v>
      </c>
      <c r="AJ3" t="s">
        <v>101</v>
      </c>
      <c r="AK3">
        <f t="shared" ref="AK2:AK7" si="1">SUMIF(AE:AE, AJ3, AF:AF)</f>
        <v>1</v>
      </c>
    </row>
    <row r="4" spans="1:37" x14ac:dyDescent="0.2">
      <c r="C4" t="s">
        <v>88</v>
      </c>
      <c r="D4" t="s">
        <v>91</v>
      </c>
      <c r="E4">
        <v>2</v>
      </c>
      <c r="I4" t="s">
        <v>88</v>
      </c>
      <c r="J4" t="s">
        <v>91</v>
      </c>
      <c r="K4">
        <v>2</v>
      </c>
      <c r="N4" t="s">
        <v>88</v>
      </c>
      <c r="O4" t="s">
        <v>169</v>
      </c>
      <c r="P4">
        <v>1</v>
      </c>
      <c r="S4" t="s">
        <v>100</v>
      </c>
      <c r="T4" t="s">
        <v>103</v>
      </c>
      <c r="U4">
        <f>SUMIF(O:O, T4, P:P)</f>
        <v>1</v>
      </c>
      <c r="X4" t="s">
        <v>100</v>
      </c>
      <c r="Y4" t="s">
        <v>101</v>
      </c>
      <c r="Z4">
        <f t="shared" si="0"/>
        <v>6</v>
      </c>
      <c r="AD4" t="s">
        <v>88</v>
      </c>
      <c r="AE4" t="s">
        <v>91</v>
      </c>
      <c r="AF4">
        <v>2</v>
      </c>
      <c r="AI4" t="s">
        <v>100</v>
      </c>
      <c r="AJ4" t="s">
        <v>103</v>
      </c>
      <c r="AK4">
        <f t="shared" si="1"/>
        <v>1</v>
      </c>
    </row>
    <row r="5" spans="1:37" x14ac:dyDescent="0.2">
      <c r="C5" t="s">
        <v>88</v>
      </c>
      <c r="D5" t="s">
        <v>92</v>
      </c>
      <c r="E5">
        <v>2</v>
      </c>
      <c r="I5" t="s">
        <v>88</v>
      </c>
      <c r="J5" t="s">
        <v>92</v>
      </c>
      <c r="K5">
        <v>2</v>
      </c>
      <c r="N5" t="s">
        <v>88</v>
      </c>
      <c r="O5" t="s">
        <v>165</v>
      </c>
      <c r="P5">
        <v>1</v>
      </c>
      <c r="S5" t="s">
        <v>1</v>
      </c>
      <c r="T5" t="s">
        <v>2</v>
      </c>
      <c r="U5" t="s">
        <v>3</v>
      </c>
      <c r="X5" t="s">
        <v>100</v>
      </c>
      <c r="Y5" t="s">
        <v>124</v>
      </c>
      <c r="Z5">
        <f t="shared" si="0"/>
        <v>6</v>
      </c>
      <c r="AD5" t="s">
        <v>88</v>
      </c>
      <c r="AE5" t="s">
        <v>92</v>
      </c>
      <c r="AF5">
        <v>2</v>
      </c>
      <c r="AI5" t="s">
        <v>100</v>
      </c>
      <c r="AJ5" t="s">
        <v>119</v>
      </c>
      <c r="AK5">
        <f t="shared" si="1"/>
        <v>1</v>
      </c>
    </row>
    <row r="6" spans="1:37" x14ac:dyDescent="0.2">
      <c r="C6" t="s">
        <v>88</v>
      </c>
      <c r="D6" t="s">
        <v>93</v>
      </c>
      <c r="E6">
        <v>2</v>
      </c>
      <c r="I6" t="s">
        <v>88</v>
      </c>
      <c r="J6" t="s">
        <v>93</v>
      </c>
      <c r="K6">
        <v>2</v>
      </c>
      <c r="N6" t="s">
        <v>100</v>
      </c>
      <c r="O6" t="s">
        <v>103</v>
      </c>
      <c r="P6">
        <v>1</v>
      </c>
      <c r="S6" t="s">
        <v>104</v>
      </c>
      <c r="T6" t="s">
        <v>107</v>
      </c>
      <c r="U6">
        <f>SUMIF(O:O, T6, P:P)</f>
        <v>44</v>
      </c>
      <c r="X6" t="s">
        <v>100</v>
      </c>
      <c r="Y6" t="s">
        <v>102</v>
      </c>
      <c r="Z6">
        <f t="shared" si="0"/>
        <v>5</v>
      </c>
      <c r="AD6" t="s">
        <v>88</v>
      </c>
      <c r="AE6" t="s">
        <v>93</v>
      </c>
      <c r="AF6">
        <v>2</v>
      </c>
      <c r="AI6" t="s">
        <v>100</v>
      </c>
      <c r="AJ6" t="s">
        <v>124</v>
      </c>
      <c r="AK6">
        <f t="shared" si="1"/>
        <v>1</v>
      </c>
    </row>
    <row r="7" spans="1:37" x14ac:dyDescent="0.2">
      <c r="C7" t="s">
        <v>88</v>
      </c>
      <c r="D7" t="s">
        <v>94</v>
      </c>
      <c r="E7">
        <v>1</v>
      </c>
      <c r="I7" t="s">
        <v>88</v>
      </c>
      <c r="J7" t="s">
        <v>94</v>
      </c>
      <c r="K7">
        <v>1</v>
      </c>
      <c r="N7" t="s">
        <v>104</v>
      </c>
      <c r="O7" t="s">
        <v>105</v>
      </c>
      <c r="P7">
        <v>2</v>
      </c>
      <c r="S7" t="s">
        <v>104</v>
      </c>
      <c r="T7" t="s">
        <v>106</v>
      </c>
      <c r="U7">
        <f>SUMIF(O:O, T7, P:P)</f>
        <v>21</v>
      </c>
      <c r="X7" t="s">
        <v>100</v>
      </c>
      <c r="Y7" t="s">
        <v>134</v>
      </c>
      <c r="Z7">
        <f t="shared" si="0"/>
        <v>4</v>
      </c>
      <c r="AD7" t="s">
        <v>88</v>
      </c>
      <c r="AE7" t="s">
        <v>94</v>
      </c>
      <c r="AF7">
        <v>1</v>
      </c>
      <c r="AI7" t="s">
        <v>100</v>
      </c>
      <c r="AJ7" t="s">
        <v>125</v>
      </c>
      <c r="AK7">
        <f t="shared" si="1"/>
        <v>1</v>
      </c>
    </row>
    <row r="8" spans="1:37" x14ac:dyDescent="0.2">
      <c r="C8" t="s">
        <v>88</v>
      </c>
      <c r="D8" t="s">
        <v>95</v>
      </c>
      <c r="E8">
        <v>1</v>
      </c>
      <c r="I8" t="s">
        <v>88</v>
      </c>
      <c r="J8" t="s">
        <v>95</v>
      </c>
      <c r="K8">
        <v>1</v>
      </c>
      <c r="N8" t="s">
        <v>88</v>
      </c>
      <c r="O8" t="s">
        <v>122</v>
      </c>
      <c r="P8">
        <v>7</v>
      </c>
      <c r="S8" t="s">
        <v>104</v>
      </c>
      <c r="T8" t="s">
        <v>105</v>
      </c>
      <c r="U8">
        <f>SUMIF(O:O, T8, P:P)</f>
        <v>17</v>
      </c>
      <c r="X8" t="s">
        <v>100</v>
      </c>
      <c r="Y8" t="s">
        <v>139</v>
      </c>
      <c r="Z8">
        <f t="shared" si="0"/>
        <v>3</v>
      </c>
      <c r="AD8" t="s">
        <v>88</v>
      </c>
      <c r="AE8" t="s">
        <v>95</v>
      </c>
      <c r="AF8">
        <v>1</v>
      </c>
      <c r="AI8" t="s">
        <v>1</v>
      </c>
      <c r="AJ8" t="s">
        <v>2</v>
      </c>
      <c r="AK8" t="s">
        <v>3</v>
      </c>
    </row>
    <row r="9" spans="1:37" x14ac:dyDescent="0.2">
      <c r="C9" t="s">
        <v>88</v>
      </c>
      <c r="D9" t="s">
        <v>96</v>
      </c>
      <c r="E9">
        <v>1</v>
      </c>
      <c r="I9" t="s">
        <v>88</v>
      </c>
      <c r="J9" t="s">
        <v>96</v>
      </c>
      <c r="K9">
        <v>1</v>
      </c>
      <c r="N9" t="s">
        <v>88</v>
      </c>
      <c r="O9" t="s">
        <v>161</v>
      </c>
      <c r="P9">
        <v>5</v>
      </c>
      <c r="S9" t="s">
        <v>104</v>
      </c>
      <c r="T9" t="s">
        <v>120</v>
      </c>
      <c r="U9">
        <f>SUMIF(O:O, T9, P:P)</f>
        <v>5</v>
      </c>
      <c r="X9" t="s">
        <v>100</v>
      </c>
      <c r="Y9" t="s">
        <v>147</v>
      </c>
      <c r="Z9">
        <f t="shared" si="0"/>
        <v>3</v>
      </c>
      <c r="AD9" t="s">
        <v>88</v>
      </c>
      <c r="AE9" t="s">
        <v>96</v>
      </c>
      <c r="AF9">
        <v>1</v>
      </c>
      <c r="AI9" t="s">
        <v>104</v>
      </c>
      <c r="AJ9" t="s">
        <v>106</v>
      </c>
      <c r="AK9">
        <f>SUMIF(AE:AE, AJ9, AF:AF)</f>
        <v>28</v>
      </c>
    </row>
    <row r="10" spans="1:37" x14ac:dyDescent="0.2">
      <c r="C10" t="s">
        <v>88</v>
      </c>
      <c r="D10" t="s">
        <v>97</v>
      </c>
      <c r="E10">
        <v>1</v>
      </c>
      <c r="I10" t="s">
        <v>88</v>
      </c>
      <c r="J10" t="s">
        <v>97</v>
      </c>
      <c r="K10">
        <v>1</v>
      </c>
      <c r="N10" t="s">
        <v>88</v>
      </c>
      <c r="O10" t="s">
        <v>112</v>
      </c>
      <c r="P10">
        <v>4</v>
      </c>
      <c r="S10" t="s">
        <v>1</v>
      </c>
      <c r="T10" t="s">
        <v>2</v>
      </c>
      <c r="U10" t="s">
        <v>3</v>
      </c>
      <c r="X10" t="s">
        <v>100</v>
      </c>
      <c r="Y10" t="s">
        <v>145</v>
      </c>
      <c r="Z10">
        <f t="shared" si="0"/>
        <v>2</v>
      </c>
      <c r="AD10" t="s">
        <v>88</v>
      </c>
      <c r="AE10" t="s">
        <v>97</v>
      </c>
      <c r="AF10">
        <v>1</v>
      </c>
      <c r="AI10" t="s">
        <v>104</v>
      </c>
      <c r="AJ10" t="s">
        <v>107</v>
      </c>
      <c r="AK10">
        <f>SUMIF(AE:AE, AJ10, AF:AF)</f>
        <v>20</v>
      </c>
    </row>
    <row r="11" spans="1:37" x14ac:dyDescent="0.2">
      <c r="C11" t="s">
        <v>88</v>
      </c>
      <c r="D11" t="s">
        <v>98</v>
      </c>
      <c r="E11">
        <v>1</v>
      </c>
      <c r="I11" t="s">
        <v>88</v>
      </c>
      <c r="J11" t="s">
        <v>98</v>
      </c>
      <c r="K11">
        <v>1</v>
      </c>
      <c r="N11" t="s">
        <v>88</v>
      </c>
      <c r="O11" t="s">
        <v>180</v>
      </c>
      <c r="P11">
        <v>2</v>
      </c>
      <c r="S11" t="s">
        <v>88</v>
      </c>
      <c r="T11" t="s">
        <v>122</v>
      </c>
      <c r="U11">
        <f t="shared" ref="U11:U38" si="2">SUMIF(O:O, T11, P:P)</f>
        <v>12</v>
      </c>
      <c r="X11" t="s">
        <v>100</v>
      </c>
      <c r="Y11" t="s">
        <v>119</v>
      </c>
      <c r="Z11">
        <f t="shared" si="0"/>
        <v>1</v>
      </c>
      <c r="AD11" t="s">
        <v>88</v>
      </c>
      <c r="AE11" t="s">
        <v>98</v>
      </c>
      <c r="AF11">
        <v>1</v>
      </c>
      <c r="AI11" t="s">
        <v>104</v>
      </c>
      <c r="AJ11" t="s">
        <v>105</v>
      </c>
      <c r="AK11">
        <f>SUMIF(AE:AE, AJ11, AF:AF)</f>
        <v>18</v>
      </c>
    </row>
    <row r="12" spans="1:37" x14ac:dyDescent="0.2">
      <c r="C12" t="s">
        <v>88</v>
      </c>
      <c r="D12" t="s">
        <v>99</v>
      </c>
      <c r="E12">
        <v>1</v>
      </c>
      <c r="I12" t="s">
        <v>88</v>
      </c>
      <c r="J12" t="s">
        <v>99</v>
      </c>
      <c r="K12">
        <v>1</v>
      </c>
      <c r="N12" t="s">
        <v>88</v>
      </c>
      <c r="O12" t="s">
        <v>181</v>
      </c>
      <c r="P12">
        <v>2</v>
      </c>
      <c r="S12" t="s">
        <v>88</v>
      </c>
      <c r="T12" t="s">
        <v>161</v>
      </c>
      <c r="U12">
        <f t="shared" si="2"/>
        <v>11</v>
      </c>
      <c r="X12" t="s">
        <v>100</v>
      </c>
      <c r="Y12" t="s">
        <v>131</v>
      </c>
      <c r="Z12">
        <f t="shared" si="0"/>
        <v>1</v>
      </c>
      <c r="AD12" t="s">
        <v>88</v>
      </c>
      <c r="AE12" t="s">
        <v>99</v>
      </c>
      <c r="AF12">
        <v>1</v>
      </c>
      <c r="AI12" t="s">
        <v>104</v>
      </c>
      <c r="AJ12" t="s">
        <v>120</v>
      </c>
      <c r="AK12">
        <f>SUMIF(AE:AE, AJ12, AF:AF)</f>
        <v>5</v>
      </c>
    </row>
    <row r="13" spans="1:37" x14ac:dyDescent="0.2">
      <c r="C13" t="s">
        <v>100</v>
      </c>
      <c r="D13" t="s">
        <v>101</v>
      </c>
      <c r="E13">
        <v>1</v>
      </c>
      <c r="I13" t="s">
        <v>100</v>
      </c>
      <c r="J13" t="s">
        <v>101</v>
      </c>
      <c r="K13">
        <v>1</v>
      </c>
      <c r="N13" t="s">
        <v>88</v>
      </c>
      <c r="O13" t="s">
        <v>144</v>
      </c>
      <c r="P13">
        <v>1</v>
      </c>
      <c r="S13" t="s">
        <v>88</v>
      </c>
      <c r="T13" t="s">
        <v>93</v>
      </c>
      <c r="U13">
        <f t="shared" si="2"/>
        <v>8</v>
      </c>
      <c r="X13" t="s">
        <v>100</v>
      </c>
      <c r="Y13" t="s">
        <v>137</v>
      </c>
      <c r="Z13">
        <f t="shared" si="0"/>
        <v>1</v>
      </c>
      <c r="AD13" t="s">
        <v>100</v>
      </c>
      <c r="AE13" t="s">
        <v>101</v>
      </c>
      <c r="AF13">
        <v>1</v>
      </c>
      <c r="AI13" t="s">
        <v>1</v>
      </c>
      <c r="AJ13" t="s">
        <v>2</v>
      </c>
      <c r="AK13" t="s">
        <v>3</v>
      </c>
    </row>
    <row r="14" spans="1:37" x14ac:dyDescent="0.2">
      <c r="C14" t="s">
        <v>100</v>
      </c>
      <c r="D14" t="s">
        <v>102</v>
      </c>
      <c r="E14">
        <v>1</v>
      </c>
      <c r="I14" t="s">
        <v>100</v>
      </c>
      <c r="J14" t="s">
        <v>102</v>
      </c>
      <c r="K14">
        <v>1</v>
      </c>
      <c r="N14" t="s">
        <v>88</v>
      </c>
      <c r="O14" t="s">
        <v>182</v>
      </c>
      <c r="P14">
        <v>1</v>
      </c>
      <c r="S14" t="s">
        <v>88</v>
      </c>
      <c r="T14" t="s">
        <v>112</v>
      </c>
      <c r="U14">
        <f t="shared" si="2"/>
        <v>4</v>
      </c>
      <c r="X14" t="s">
        <v>100</v>
      </c>
      <c r="Y14" t="s">
        <v>146</v>
      </c>
      <c r="Z14">
        <f t="shared" si="0"/>
        <v>1</v>
      </c>
      <c r="AD14" t="s">
        <v>100</v>
      </c>
      <c r="AE14" t="s">
        <v>102</v>
      </c>
      <c r="AF14">
        <v>1</v>
      </c>
      <c r="AI14" t="s">
        <v>88</v>
      </c>
      <c r="AJ14" t="s">
        <v>89</v>
      </c>
      <c r="AK14">
        <f t="shared" ref="AK14:AK42" si="3">SUMIF(AE:AE, AJ14, AF:AF)</f>
        <v>7</v>
      </c>
    </row>
    <row r="15" spans="1:37" x14ac:dyDescent="0.2">
      <c r="C15" t="s">
        <v>100</v>
      </c>
      <c r="D15" t="s">
        <v>103</v>
      </c>
      <c r="E15">
        <v>1</v>
      </c>
      <c r="I15" t="s">
        <v>100</v>
      </c>
      <c r="J15" t="s">
        <v>103</v>
      </c>
      <c r="K15">
        <v>1</v>
      </c>
      <c r="N15" t="s">
        <v>88</v>
      </c>
      <c r="O15" t="s">
        <v>89</v>
      </c>
      <c r="P15">
        <v>1</v>
      </c>
      <c r="S15" t="s">
        <v>88</v>
      </c>
      <c r="T15" t="s">
        <v>181</v>
      </c>
      <c r="U15">
        <f t="shared" si="2"/>
        <v>4</v>
      </c>
      <c r="X15" t="s">
        <v>100</v>
      </c>
      <c r="Y15" t="s">
        <v>148</v>
      </c>
      <c r="Z15">
        <f t="shared" si="0"/>
        <v>1</v>
      </c>
      <c r="AD15" t="s">
        <v>100</v>
      </c>
      <c r="AE15" t="s">
        <v>103</v>
      </c>
      <c r="AF15">
        <v>1</v>
      </c>
      <c r="AI15" t="s">
        <v>88</v>
      </c>
      <c r="AJ15" t="s">
        <v>94</v>
      </c>
      <c r="AK15">
        <f t="shared" si="3"/>
        <v>7</v>
      </c>
    </row>
    <row r="16" spans="1:37" x14ac:dyDescent="0.2">
      <c r="C16" t="s">
        <v>104</v>
      </c>
      <c r="D16" t="s">
        <v>105</v>
      </c>
      <c r="E16">
        <v>9</v>
      </c>
      <c r="I16" t="s">
        <v>104</v>
      </c>
      <c r="J16" t="s">
        <v>105</v>
      </c>
      <c r="K16">
        <v>9</v>
      </c>
      <c r="N16" t="s">
        <v>88</v>
      </c>
      <c r="O16" t="s">
        <v>98</v>
      </c>
      <c r="P16">
        <v>1</v>
      </c>
      <c r="S16" t="s">
        <v>88</v>
      </c>
      <c r="T16" t="s">
        <v>133</v>
      </c>
      <c r="U16">
        <f t="shared" si="2"/>
        <v>4</v>
      </c>
      <c r="X16" t="s">
        <v>1</v>
      </c>
      <c r="Y16" t="s">
        <v>2</v>
      </c>
      <c r="Z16" t="s">
        <v>3</v>
      </c>
      <c r="AD16" t="s">
        <v>104</v>
      </c>
      <c r="AE16" t="s">
        <v>105</v>
      </c>
      <c r="AF16">
        <v>9</v>
      </c>
      <c r="AI16" t="s">
        <v>88</v>
      </c>
      <c r="AJ16" t="s">
        <v>95</v>
      </c>
      <c r="AK16">
        <f t="shared" si="3"/>
        <v>5</v>
      </c>
    </row>
    <row r="17" spans="2:37" x14ac:dyDescent="0.2">
      <c r="C17" t="s">
        <v>104</v>
      </c>
      <c r="D17" t="s">
        <v>106</v>
      </c>
      <c r="E17">
        <v>6</v>
      </c>
      <c r="I17" t="s">
        <v>104</v>
      </c>
      <c r="J17" t="s">
        <v>106</v>
      </c>
      <c r="K17">
        <v>6</v>
      </c>
      <c r="N17" t="s">
        <v>88</v>
      </c>
      <c r="O17" t="s">
        <v>165</v>
      </c>
      <c r="P17">
        <v>1</v>
      </c>
      <c r="S17" t="s">
        <v>88</v>
      </c>
      <c r="T17" t="s">
        <v>123</v>
      </c>
      <c r="U17">
        <f t="shared" si="2"/>
        <v>4</v>
      </c>
      <c r="X17" t="s">
        <v>104</v>
      </c>
      <c r="Y17" t="s">
        <v>106</v>
      </c>
      <c r="Z17">
        <f>SUMIF(J:J, Y17, K:K)</f>
        <v>102</v>
      </c>
      <c r="AD17" t="s">
        <v>104</v>
      </c>
      <c r="AE17" t="s">
        <v>106</v>
      </c>
      <c r="AF17">
        <v>6</v>
      </c>
      <c r="AI17" t="s">
        <v>88</v>
      </c>
      <c r="AJ17" t="s">
        <v>90</v>
      </c>
      <c r="AK17">
        <f t="shared" si="3"/>
        <v>4</v>
      </c>
    </row>
    <row r="18" spans="2:37" x14ac:dyDescent="0.2">
      <c r="C18" t="s">
        <v>104</v>
      </c>
      <c r="D18" t="s">
        <v>107</v>
      </c>
      <c r="E18">
        <v>3</v>
      </c>
      <c r="I18" t="s">
        <v>104</v>
      </c>
      <c r="J18" t="s">
        <v>107</v>
      </c>
      <c r="K18">
        <v>3</v>
      </c>
      <c r="N18" t="s">
        <v>88</v>
      </c>
      <c r="O18" t="s">
        <v>142</v>
      </c>
      <c r="P18">
        <v>1</v>
      </c>
      <c r="S18" t="s">
        <v>88</v>
      </c>
      <c r="T18" t="s">
        <v>165</v>
      </c>
      <c r="U18">
        <f t="shared" si="2"/>
        <v>3</v>
      </c>
      <c r="X18" t="s">
        <v>104</v>
      </c>
      <c r="Y18" t="s">
        <v>105</v>
      </c>
      <c r="Z18">
        <f>SUMIF(J:J, Y18, K:K)</f>
        <v>87</v>
      </c>
      <c r="AD18" t="s">
        <v>104</v>
      </c>
      <c r="AE18" t="s">
        <v>107</v>
      </c>
      <c r="AF18">
        <v>3</v>
      </c>
      <c r="AI18" t="s">
        <v>88</v>
      </c>
      <c r="AJ18" t="s">
        <v>93</v>
      </c>
      <c r="AK18">
        <f t="shared" si="3"/>
        <v>4</v>
      </c>
    </row>
    <row r="19" spans="2:37" x14ac:dyDescent="0.2">
      <c r="B19" t="s">
        <v>20</v>
      </c>
      <c r="C19" t="s">
        <v>88</v>
      </c>
      <c r="D19" t="s">
        <v>108</v>
      </c>
      <c r="E19">
        <v>3</v>
      </c>
      <c r="I19" t="s">
        <v>88</v>
      </c>
      <c r="J19" t="s">
        <v>108</v>
      </c>
      <c r="K19">
        <v>3</v>
      </c>
      <c r="N19" t="s">
        <v>88</v>
      </c>
      <c r="O19" t="s">
        <v>172</v>
      </c>
      <c r="P19">
        <v>1</v>
      </c>
      <c r="S19" t="s">
        <v>88</v>
      </c>
      <c r="T19" t="s">
        <v>180</v>
      </c>
      <c r="U19">
        <f t="shared" si="2"/>
        <v>3</v>
      </c>
      <c r="X19" t="s">
        <v>104</v>
      </c>
      <c r="Y19" t="s">
        <v>107</v>
      </c>
      <c r="Z19">
        <f>SUMIF(J:J, Y19, K:K)</f>
        <v>78</v>
      </c>
      <c r="AD19" t="s">
        <v>88</v>
      </c>
      <c r="AE19" t="s">
        <v>108</v>
      </c>
      <c r="AF19">
        <v>3</v>
      </c>
      <c r="AI19" t="s">
        <v>88</v>
      </c>
      <c r="AJ19" t="s">
        <v>98</v>
      </c>
      <c r="AK19">
        <f t="shared" si="3"/>
        <v>4</v>
      </c>
    </row>
    <row r="20" spans="2:37" x14ac:dyDescent="0.2">
      <c r="C20" t="s">
        <v>88</v>
      </c>
      <c r="D20" t="s">
        <v>95</v>
      </c>
      <c r="E20">
        <v>2</v>
      </c>
      <c r="I20" t="s">
        <v>88</v>
      </c>
      <c r="J20" t="s">
        <v>95</v>
      </c>
      <c r="K20">
        <v>2</v>
      </c>
      <c r="N20" t="s">
        <v>104</v>
      </c>
      <c r="O20" t="s">
        <v>107</v>
      </c>
      <c r="P20">
        <v>22</v>
      </c>
      <c r="S20" t="s">
        <v>88</v>
      </c>
      <c r="T20" t="s">
        <v>144</v>
      </c>
      <c r="U20">
        <f t="shared" si="2"/>
        <v>3</v>
      </c>
      <c r="X20" t="s">
        <v>104</v>
      </c>
      <c r="Y20" t="s">
        <v>120</v>
      </c>
      <c r="Z20">
        <f>SUMIF(J:J, Y20, K:K)</f>
        <v>41</v>
      </c>
      <c r="AD20" t="s">
        <v>88</v>
      </c>
      <c r="AE20" t="s">
        <v>95</v>
      </c>
      <c r="AF20">
        <v>2</v>
      </c>
      <c r="AI20" t="s">
        <v>88</v>
      </c>
      <c r="AJ20" t="s">
        <v>99</v>
      </c>
      <c r="AK20">
        <f t="shared" si="3"/>
        <v>4</v>
      </c>
    </row>
    <row r="21" spans="2:37" x14ac:dyDescent="0.2">
      <c r="C21" t="s">
        <v>88</v>
      </c>
      <c r="D21" t="s">
        <v>89</v>
      </c>
      <c r="E21">
        <v>2</v>
      </c>
      <c r="I21" t="s">
        <v>88</v>
      </c>
      <c r="J21" t="s">
        <v>89</v>
      </c>
      <c r="K21">
        <v>2</v>
      </c>
      <c r="N21" t="s">
        <v>104</v>
      </c>
      <c r="O21" t="s">
        <v>120</v>
      </c>
      <c r="P21">
        <v>3</v>
      </c>
      <c r="S21" t="s">
        <v>88</v>
      </c>
      <c r="T21" t="s">
        <v>98</v>
      </c>
      <c r="U21">
        <f t="shared" si="2"/>
        <v>3</v>
      </c>
      <c r="X21" t="s">
        <v>1</v>
      </c>
      <c r="Y21" t="s">
        <v>2</v>
      </c>
      <c r="Z21" t="s">
        <v>3</v>
      </c>
      <c r="AD21" t="s">
        <v>88</v>
      </c>
      <c r="AE21" t="s">
        <v>89</v>
      </c>
      <c r="AF21">
        <v>2</v>
      </c>
      <c r="AI21" t="s">
        <v>88</v>
      </c>
      <c r="AJ21" t="s">
        <v>91</v>
      </c>
      <c r="AK21">
        <f t="shared" si="3"/>
        <v>3</v>
      </c>
    </row>
    <row r="22" spans="2:37" x14ac:dyDescent="0.2">
      <c r="C22" t="s">
        <v>88</v>
      </c>
      <c r="D22" t="s">
        <v>98</v>
      </c>
      <c r="E22">
        <v>2</v>
      </c>
      <c r="I22" t="s">
        <v>88</v>
      </c>
      <c r="J22" t="s">
        <v>98</v>
      </c>
      <c r="K22">
        <v>2</v>
      </c>
      <c r="N22" t="s">
        <v>104</v>
      </c>
      <c r="O22" t="s">
        <v>106</v>
      </c>
      <c r="P22">
        <v>1</v>
      </c>
      <c r="S22" t="s">
        <v>88</v>
      </c>
      <c r="T22" t="s">
        <v>140</v>
      </c>
      <c r="U22">
        <f t="shared" si="2"/>
        <v>2</v>
      </c>
      <c r="X22" t="s">
        <v>88</v>
      </c>
      <c r="Y22" t="s">
        <v>150</v>
      </c>
      <c r="Z22">
        <f t="shared" ref="Z22:Z53" si="4">SUMIF(J:J, Y22, K:K)</f>
        <v>38</v>
      </c>
      <c r="AD22" t="s">
        <v>88</v>
      </c>
      <c r="AE22" t="s">
        <v>98</v>
      </c>
      <c r="AF22">
        <v>2</v>
      </c>
      <c r="AI22" t="s">
        <v>88</v>
      </c>
      <c r="AJ22" t="s">
        <v>97</v>
      </c>
      <c r="AK22">
        <f t="shared" si="3"/>
        <v>3</v>
      </c>
    </row>
    <row r="23" spans="2:37" x14ac:dyDescent="0.2">
      <c r="C23" t="s">
        <v>88</v>
      </c>
      <c r="D23" t="s">
        <v>109</v>
      </c>
      <c r="E23">
        <v>1</v>
      </c>
      <c r="I23" t="s">
        <v>88</v>
      </c>
      <c r="J23" t="s">
        <v>109</v>
      </c>
      <c r="K23">
        <v>1</v>
      </c>
      <c r="N23" t="s">
        <v>104</v>
      </c>
      <c r="O23" t="s">
        <v>105</v>
      </c>
      <c r="P23">
        <v>1</v>
      </c>
      <c r="S23" t="s">
        <v>88</v>
      </c>
      <c r="T23" t="s">
        <v>97</v>
      </c>
      <c r="U23">
        <f t="shared" si="2"/>
        <v>2</v>
      </c>
      <c r="X23" t="s">
        <v>88</v>
      </c>
      <c r="Y23" t="s">
        <v>170</v>
      </c>
      <c r="Z23">
        <f t="shared" si="4"/>
        <v>17</v>
      </c>
      <c r="AD23" t="s">
        <v>88</v>
      </c>
      <c r="AE23" t="s">
        <v>109</v>
      </c>
      <c r="AF23">
        <v>1</v>
      </c>
      <c r="AI23" t="s">
        <v>88</v>
      </c>
      <c r="AJ23" t="s">
        <v>108</v>
      </c>
      <c r="AK23">
        <f t="shared" si="3"/>
        <v>3</v>
      </c>
    </row>
    <row r="24" spans="2:37" x14ac:dyDescent="0.2">
      <c r="C24" t="s">
        <v>88</v>
      </c>
      <c r="D24" t="s">
        <v>94</v>
      </c>
      <c r="E24">
        <v>1</v>
      </c>
      <c r="I24" t="s">
        <v>88</v>
      </c>
      <c r="J24" t="s">
        <v>94</v>
      </c>
      <c r="K24">
        <v>1</v>
      </c>
      <c r="N24" t="s">
        <v>88</v>
      </c>
      <c r="O24" t="s">
        <v>144</v>
      </c>
      <c r="P24">
        <v>1</v>
      </c>
      <c r="S24" t="s">
        <v>88</v>
      </c>
      <c r="T24" t="s">
        <v>176</v>
      </c>
      <c r="U24">
        <f t="shared" si="2"/>
        <v>2</v>
      </c>
      <c r="X24" t="s">
        <v>88</v>
      </c>
      <c r="Y24" t="s">
        <v>95</v>
      </c>
      <c r="Z24">
        <f t="shared" si="4"/>
        <v>15</v>
      </c>
      <c r="AD24" t="s">
        <v>88</v>
      </c>
      <c r="AE24" t="s">
        <v>94</v>
      </c>
      <c r="AF24">
        <v>1</v>
      </c>
      <c r="AI24" t="s">
        <v>88</v>
      </c>
      <c r="AJ24" t="s">
        <v>121</v>
      </c>
      <c r="AK24">
        <f t="shared" si="3"/>
        <v>3</v>
      </c>
    </row>
    <row r="25" spans="2:37" x14ac:dyDescent="0.2">
      <c r="C25" t="s">
        <v>88</v>
      </c>
      <c r="D25" t="s">
        <v>91</v>
      </c>
      <c r="E25">
        <v>1</v>
      </c>
      <c r="I25" t="s">
        <v>88</v>
      </c>
      <c r="J25" t="s">
        <v>91</v>
      </c>
      <c r="K25">
        <v>1</v>
      </c>
      <c r="N25" t="s">
        <v>88</v>
      </c>
      <c r="O25" t="s">
        <v>97</v>
      </c>
      <c r="P25">
        <v>1</v>
      </c>
      <c r="S25" t="s">
        <v>88</v>
      </c>
      <c r="T25" t="s">
        <v>114</v>
      </c>
      <c r="U25">
        <f t="shared" si="2"/>
        <v>2</v>
      </c>
      <c r="X25" t="s">
        <v>88</v>
      </c>
      <c r="Y25" t="s">
        <v>151</v>
      </c>
      <c r="Z25">
        <f t="shared" si="4"/>
        <v>15</v>
      </c>
      <c r="AD25" t="s">
        <v>88</v>
      </c>
      <c r="AE25" t="s">
        <v>91</v>
      </c>
      <c r="AF25">
        <v>1</v>
      </c>
      <c r="AI25" t="s">
        <v>88</v>
      </c>
      <c r="AJ25" t="s">
        <v>92</v>
      </c>
      <c r="AK25">
        <f t="shared" si="3"/>
        <v>2</v>
      </c>
    </row>
    <row r="26" spans="2:37" x14ac:dyDescent="0.2">
      <c r="C26" t="s">
        <v>88</v>
      </c>
      <c r="D26" t="s">
        <v>110</v>
      </c>
      <c r="E26">
        <v>1</v>
      </c>
      <c r="I26" t="s">
        <v>88</v>
      </c>
      <c r="J26" t="s">
        <v>110</v>
      </c>
      <c r="K26">
        <v>1</v>
      </c>
      <c r="N26" t="s">
        <v>88</v>
      </c>
      <c r="O26" t="s">
        <v>161</v>
      </c>
      <c r="P26">
        <v>1</v>
      </c>
      <c r="S26" t="s">
        <v>88</v>
      </c>
      <c r="T26" t="s">
        <v>115</v>
      </c>
      <c r="U26">
        <f t="shared" si="2"/>
        <v>2</v>
      </c>
      <c r="X26" t="s">
        <v>88</v>
      </c>
      <c r="Y26" t="s">
        <v>121</v>
      </c>
      <c r="Z26">
        <f t="shared" si="4"/>
        <v>11</v>
      </c>
      <c r="AD26" t="s">
        <v>88</v>
      </c>
      <c r="AE26" t="s">
        <v>110</v>
      </c>
      <c r="AF26">
        <v>1</v>
      </c>
      <c r="AI26" t="s">
        <v>88</v>
      </c>
      <c r="AJ26" t="s">
        <v>109</v>
      </c>
      <c r="AK26">
        <f t="shared" si="3"/>
        <v>2</v>
      </c>
    </row>
    <row r="27" spans="2:37" x14ac:dyDescent="0.2">
      <c r="C27" t="s">
        <v>88</v>
      </c>
      <c r="D27" t="s">
        <v>111</v>
      </c>
      <c r="E27">
        <v>1</v>
      </c>
      <c r="I27" t="s">
        <v>88</v>
      </c>
      <c r="J27" t="s">
        <v>111</v>
      </c>
      <c r="K27">
        <v>1</v>
      </c>
      <c r="N27" t="s">
        <v>88</v>
      </c>
      <c r="O27" t="s">
        <v>98</v>
      </c>
      <c r="P27">
        <v>1</v>
      </c>
      <c r="S27" t="s">
        <v>88</v>
      </c>
      <c r="T27" t="s">
        <v>121</v>
      </c>
      <c r="U27">
        <f t="shared" si="2"/>
        <v>2</v>
      </c>
      <c r="X27" t="s">
        <v>88</v>
      </c>
      <c r="Y27" t="s">
        <v>126</v>
      </c>
      <c r="Z27">
        <f t="shared" si="4"/>
        <v>11</v>
      </c>
      <c r="AD27" t="s">
        <v>88</v>
      </c>
      <c r="AE27" t="s">
        <v>111</v>
      </c>
      <c r="AF27">
        <v>1</v>
      </c>
      <c r="AI27" t="s">
        <v>88</v>
      </c>
      <c r="AJ27" t="s">
        <v>110</v>
      </c>
      <c r="AK27">
        <f t="shared" si="3"/>
        <v>2</v>
      </c>
    </row>
    <row r="28" spans="2:37" x14ac:dyDescent="0.2">
      <c r="C28" t="s">
        <v>88</v>
      </c>
      <c r="D28" t="s">
        <v>112</v>
      </c>
      <c r="E28">
        <v>1</v>
      </c>
      <c r="I28" t="s">
        <v>88</v>
      </c>
      <c r="J28" t="s">
        <v>112</v>
      </c>
      <c r="K28">
        <v>1</v>
      </c>
      <c r="N28" t="s">
        <v>88</v>
      </c>
      <c r="O28" t="s">
        <v>176</v>
      </c>
      <c r="P28">
        <v>1</v>
      </c>
      <c r="S28" t="s">
        <v>88</v>
      </c>
      <c r="T28" t="s">
        <v>174</v>
      </c>
      <c r="U28">
        <f t="shared" si="2"/>
        <v>2</v>
      </c>
      <c r="X28" t="s">
        <v>88</v>
      </c>
      <c r="Y28" t="s">
        <v>168</v>
      </c>
      <c r="Z28">
        <f t="shared" si="4"/>
        <v>9</v>
      </c>
      <c r="AD28" t="s">
        <v>88</v>
      </c>
      <c r="AE28" t="s">
        <v>112</v>
      </c>
      <c r="AF28">
        <v>1</v>
      </c>
      <c r="AI28" t="s">
        <v>88</v>
      </c>
      <c r="AJ28" t="s">
        <v>114</v>
      </c>
      <c r="AK28">
        <f t="shared" si="3"/>
        <v>2</v>
      </c>
    </row>
    <row r="29" spans="2:37" x14ac:dyDescent="0.2">
      <c r="C29" t="s">
        <v>88</v>
      </c>
      <c r="D29" t="s">
        <v>113</v>
      </c>
      <c r="E29">
        <v>1</v>
      </c>
      <c r="I29" t="s">
        <v>88</v>
      </c>
      <c r="J29" t="s">
        <v>113</v>
      </c>
      <c r="K29">
        <v>1</v>
      </c>
      <c r="N29" t="s">
        <v>88</v>
      </c>
      <c r="O29" t="s">
        <v>133</v>
      </c>
      <c r="P29">
        <v>1</v>
      </c>
      <c r="S29" t="s">
        <v>88</v>
      </c>
      <c r="T29" t="s">
        <v>92</v>
      </c>
      <c r="U29">
        <f t="shared" si="2"/>
        <v>2</v>
      </c>
      <c r="X29" t="s">
        <v>88</v>
      </c>
      <c r="Y29" t="s">
        <v>140</v>
      </c>
      <c r="Z29">
        <f t="shared" si="4"/>
        <v>8</v>
      </c>
      <c r="AD29" t="s">
        <v>88</v>
      </c>
      <c r="AE29" t="s">
        <v>113</v>
      </c>
      <c r="AF29">
        <v>1</v>
      </c>
      <c r="AI29" t="s">
        <v>88</v>
      </c>
      <c r="AJ29" t="s">
        <v>117</v>
      </c>
      <c r="AK29">
        <f t="shared" si="3"/>
        <v>2</v>
      </c>
    </row>
    <row r="30" spans="2:37" x14ac:dyDescent="0.2">
      <c r="C30" t="s">
        <v>88</v>
      </c>
      <c r="D30" t="s">
        <v>90</v>
      </c>
      <c r="E30">
        <v>1</v>
      </c>
      <c r="I30" t="s">
        <v>88</v>
      </c>
      <c r="J30" t="s">
        <v>90</v>
      </c>
      <c r="K30">
        <v>1</v>
      </c>
      <c r="N30" t="s">
        <v>88</v>
      </c>
      <c r="O30" t="s">
        <v>114</v>
      </c>
      <c r="P30">
        <v>1</v>
      </c>
      <c r="S30" t="s">
        <v>88</v>
      </c>
      <c r="T30" t="s">
        <v>90</v>
      </c>
      <c r="U30">
        <f t="shared" si="2"/>
        <v>2</v>
      </c>
      <c r="X30" t="s">
        <v>88</v>
      </c>
      <c r="Y30" t="s">
        <v>89</v>
      </c>
      <c r="Z30">
        <f t="shared" si="4"/>
        <v>7</v>
      </c>
      <c r="AD30" t="s">
        <v>88</v>
      </c>
      <c r="AE30" t="s">
        <v>90</v>
      </c>
      <c r="AF30">
        <v>1</v>
      </c>
      <c r="AI30" t="s">
        <v>88</v>
      </c>
      <c r="AJ30" t="s">
        <v>126</v>
      </c>
      <c r="AK30">
        <f t="shared" si="3"/>
        <v>2</v>
      </c>
    </row>
    <row r="31" spans="2:37" x14ac:dyDescent="0.2">
      <c r="C31" t="s">
        <v>88</v>
      </c>
      <c r="D31" t="s">
        <v>99</v>
      </c>
      <c r="E31">
        <v>1</v>
      </c>
      <c r="I31" t="s">
        <v>88</v>
      </c>
      <c r="J31" t="s">
        <v>99</v>
      </c>
      <c r="K31">
        <v>1</v>
      </c>
      <c r="N31" t="s">
        <v>88</v>
      </c>
      <c r="O31" t="s">
        <v>115</v>
      </c>
      <c r="P31">
        <v>1</v>
      </c>
      <c r="S31" t="s">
        <v>88</v>
      </c>
      <c r="T31" t="s">
        <v>175</v>
      </c>
      <c r="U31">
        <f t="shared" si="2"/>
        <v>2</v>
      </c>
      <c r="X31" t="s">
        <v>88</v>
      </c>
      <c r="Y31" t="s">
        <v>94</v>
      </c>
      <c r="Z31">
        <f t="shared" si="4"/>
        <v>7</v>
      </c>
      <c r="AD31" t="s">
        <v>88</v>
      </c>
      <c r="AE31" t="s">
        <v>99</v>
      </c>
      <c r="AF31">
        <v>1</v>
      </c>
      <c r="AI31" t="s">
        <v>88</v>
      </c>
      <c r="AJ31" t="s">
        <v>96</v>
      </c>
      <c r="AK31">
        <f t="shared" si="3"/>
        <v>1</v>
      </c>
    </row>
    <row r="32" spans="2:37" x14ac:dyDescent="0.2">
      <c r="C32" t="s">
        <v>88</v>
      </c>
      <c r="D32" t="s">
        <v>114</v>
      </c>
      <c r="E32">
        <v>1</v>
      </c>
      <c r="I32" t="s">
        <v>88</v>
      </c>
      <c r="J32" t="s">
        <v>114</v>
      </c>
      <c r="K32">
        <v>1</v>
      </c>
      <c r="N32" t="s">
        <v>88</v>
      </c>
      <c r="O32" t="s">
        <v>121</v>
      </c>
      <c r="P32">
        <v>1</v>
      </c>
      <c r="S32" t="s">
        <v>88</v>
      </c>
      <c r="T32" t="s">
        <v>163</v>
      </c>
      <c r="U32">
        <f t="shared" si="2"/>
        <v>2</v>
      </c>
      <c r="X32" t="s">
        <v>88</v>
      </c>
      <c r="Y32" t="s">
        <v>117</v>
      </c>
      <c r="Z32">
        <f t="shared" si="4"/>
        <v>7</v>
      </c>
      <c r="AD32" t="s">
        <v>88</v>
      </c>
      <c r="AE32" t="s">
        <v>114</v>
      </c>
      <c r="AF32">
        <v>1</v>
      </c>
      <c r="AI32" t="s">
        <v>88</v>
      </c>
      <c r="AJ32" t="s">
        <v>111</v>
      </c>
      <c r="AK32">
        <f t="shared" si="3"/>
        <v>1</v>
      </c>
    </row>
    <row r="33" spans="2:37" x14ac:dyDescent="0.2">
      <c r="C33" t="s">
        <v>88</v>
      </c>
      <c r="D33" t="s">
        <v>115</v>
      </c>
      <c r="E33">
        <v>1</v>
      </c>
      <c r="I33" t="s">
        <v>88</v>
      </c>
      <c r="J33" t="s">
        <v>115</v>
      </c>
      <c r="K33">
        <v>1</v>
      </c>
      <c r="N33" t="s">
        <v>100</v>
      </c>
      <c r="O33" t="s">
        <v>124</v>
      </c>
      <c r="P33">
        <v>1</v>
      </c>
      <c r="S33" t="s">
        <v>88</v>
      </c>
      <c r="T33" t="s">
        <v>169</v>
      </c>
      <c r="U33">
        <f t="shared" si="2"/>
        <v>1</v>
      </c>
      <c r="X33" t="s">
        <v>88</v>
      </c>
      <c r="Y33" t="s">
        <v>162</v>
      </c>
      <c r="Z33">
        <f t="shared" si="4"/>
        <v>7</v>
      </c>
      <c r="AD33" t="s">
        <v>88</v>
      </c>
      <c r="AE33" t="s">
        <v>115</v>
      </c>
      <c r="AF33">
        <v>1</v>
      </c>
      <c r="AI33" t="s">
        <v>88</v>
      </c>
      <c r="AJ33" t="s">
        <v>112</v>
      </c>
      <c r="AK33">
        <f t="shared" si="3"/>
        <v>1</v>
      </c>
    </row>
    <row r="34" spans="2:37" x14ac:dyDescent="0.2">
      <c r="C34" t="s">
        <v>88</v>
      </c>
      <c r="D34" t="s">
        <v>116</v>
      </c>
      <c r="E34">
        <v>1</v>
      </c>
      <c r="I34" t="s">
        <v>88</v>
      </c>
      <c r="J34" t="s">
        <v>116</v>
      </c>
      <c r="K34">
        <v>1</v>
      </c>
      <c r="N34" t="s">
        <v>104</v>
      </c>
      <c r="O34" t="s">
        <v>107</v>
      </c>
      <c r="P34">
        <v>5</v>
      </c>
      <c r="S34" t="s">
        <v>88</v>
      </c>
      <c r="T34" t="s">
        <v>182</v>
      </c>
      <c r="U34">
        <f t="shared" si="2"/>
        <v>1</v>
      </c>
      <c r="X34" t="s">
        <v>88</v>
      </c>
      <c r="Y34" t="s">
        <v>92</v>
      </c>
      <c r="Z34">
        <f t="shared" si="4"/>
        <v>6</v>
      </c>
      <c r="AD34" t="s">
        <v>88</v>
      </c>
      <c r="AE34" t="s">
        <v>116</v>
      </c>
      <c r="AF34">
        <v>1</v>
      </c>
      <c r="AI34" t="s">
        <v>88</v>
      </c>
      <c r="AJ34" t="s">
        <v>113</v>
      </c>
      <c r="AK34">
        <f t="shared" si="3"/>
        <v>1</v>
      </c>
    </row>
    <row r="35" spans="2:37" x14ac:dyDescent="0.2">
      <c r="C35" t="s">
        <v>88</v>
      </c>
      <c r="D35" t="s">
        <v>117</v>
      </c>
      <c r="E35">
        <v>1</v>
      </c>
      <c r="I35" t="s">
        <v>88</v>
      </c>
      <c r="J35" t="s">
        <v>117</v>
      </c>
      <c r="K35">
        <v>1</v>
      </c>
      <c r="N35" t="s">
        <v>104</v>
      </c>
      <c r="O35" t="s">
        <v>106</v>
      </c>
      <c r="P35">
        <v>3</v>
      </c>
      <c r="S35" t="s">
        <v>88</v>
      </c>
      <c r="T35" t="s">
        <v>89</v>
      </c>
      <c r="U35">
        <f t="shared" si="2"/>
        <v>1</v>
      </c>
      <c r="X35" t="s">
        <v>88</v>
      </c>
      <c r="Y35" t="s">
        <v>108</v>
      </c>
      <c r="Z35">
        <f t="shared" si="4"/>
        <v>6</v>
      </c>
      <c r="AD35" t="s">
        <v>88</v>
      </c>
      <c r="AE35" t="s">
        <v>117</v>
      </c>
      <c r="AF35">
        <v>1</v>
      </c>
      <c r="AI35" t="s">
        <v>88</v>
      </c>
      <c r="AJ35" t="s">
        <v>115</v>
      </c>
      <c r="AK35">
        <f t="shared" si="3"/>
        <v>1</v>
      </c>
    </row>
    <row r="36" spans="2:37" x14ac:dyDescent="0.2">
      <c r="C36" t="s">
        <v>88</v>
      </c>
      <c r="D36" t="s">
        <v>118</v>
      </c>
      <c r="E36">
        <v>1</v>
      </c>
      <c r="I36" t="s">
        <v>88</v>
      </c>
      <c r="J36" t="s">
        <v>118</v>
      </c>
      <c r="K36">
        <v>1</v>
      </c>
      <c r="N36" t="s">
        <v>104</v>
      </c>
      <c r="O36" t="s">
        <v>105</v>
      </c>
      <c r="P36">
        <v>1</v>
      </c>
      <c r="S36" t="s">
        <v>88</v>
      </c>
      <c r="T36" t="s">
        <v>142</v>
      </c>
      <c r="U36">
        <f t="shared" si="2"/>
        <v>1</v>
      </c>
      <c r="X36" t="s">
        <v>88</v>
      </c>
      <c r="Y36" t="s">
        <v>129</v>
      </c>
      <c r="Z36">
        <f t="shared" si="4"/>
        <v>6</v>
      </c>
      <c r="AD36" t="s">
        <v>88</v>
      </c>
      <c r="AE36" t="s">
        <v>118</v>
      </c>
      <c r="AF36">
        <v>1</v>
      </c>
      <c r="AI36" t="s">
        <v>88</v>
      </c>
      <c r="AJ36" t="s">
        <v>116</v>
      </c>
      <c r="AK36">
        <f t="shared" si="3"/>
        <v>1</v>
      </c>
    </row>
    <row r="37" spans="2:37" x14ac:dyDescent="0.2">
      <c r="C37" t="s">
        <v>100</v>
      </c>
      <c r="D37" t="s">
        <v>102</v>
      </c>
      <c r="E37">
        <v>2</v>
      </c>
      <c r="I37" t="s">
        <v>100</v>
      </c>
      <c r="J37" t="s">
        <v>102</v>
      </c>
      <c r="K37">
        <v>2</v>
      </c>
      <c r="N37" t="s">
        <v>88</v>
      </c>
      <c r="O37" t="s">
        <v>93</v>
      </c>
      <c r="P37">
        <v>4</v>
      </c>
      <c r="S37" t="s">
        <v>88</v>
      </c>
      <c r="T37" t="s">
        <v>172</v>
      </c>
      <c r="U37">
        <f t="shared" si="2"/>
        <v>1</v>
      </c>
      <c r="X37" t="s">
        <v>88</v>
      </c>
      <c r="Y37" t="s">
        <v>172</v>
      </c>
      <c r="Z37">
        <f t="shared" si="4"/>
        <v>6</v>
      </c>
      <c r="AD37" t="s">
        <v>100</v>
      </c>
      <c r="AE37" t="s">
        <v>102</v>
      </c>
      <c r="AF37">
        <v>2</v>
      </c>
      <c r="AI37" t="s">
        <v>88</v>
      </c>
      <c r="AJ37" t="s">
        <v>118</v>
      </c>
      <c r="AK37">
        <f t="shared" si="3"/>
        <v>1</v>
      </c>
    </row>
    <row r="38" spans="2:37" x14ac:dyDescent="0.2">
      <c r="C38" t="s">
        <v>100</v>
      </c>
      <c r="D38" t="s">
        <v>119</v>
      </c>
      <c r="E38">
        <v>1</v>
      </c>
      <c r="I38" t="s">
        <v>100</v>
      </c>
      <c r="J38" t="s">
        <v>119</v>
      </c>
      <c r="K38">
        <v>1</v>
      </c>
      <c r="N38" t="s">
        <v>88</v>
      </c>
      <c r="O38" t="s">
        <v>122</v>
      </c>
      <c r="P38">
        <v>2</v>
      </c>
      <c r="S38" t="s">
        <v>88</v>
      </c>
      <c r="T38" t="s">
        <v>111</v>
      </c>
      <c r="U38">
        <f t="shared" si="2"/>
        <v>1</v>
      </c>
      <c r="X38" t="s">
        <v>88</v>
      </c>
      <c r="Y38" t="s">
        <v>176</v>
      </c>
      <c r="Z38">
        <f t="shared" si="4"/>
        <v>6</v>
      </c>
      <c r="AD38" t="s">
        <v>100</v>
      </c>
      <c r="AE38" t="s">
        <v>119</v>
      </c>
      <c r="AF38">
        <v>1</v>
      </c>
      <c r="AI38" t="s">
        <v>88</v>
      </c>
      <c r="AJ38" t="s">
        <v>122</v>
      </c>
      <c r="AK38">
        <f t="shared" si="3"/>
        <v>1</v>
      </c>
    </row>
    <row r="39" spans="2:37" x14ac:dyDescent="0.2">
      <c r="C39" t="s">
        <v>104</v>
      </c>
      <c r="D39" t="s">
        <v>106</v>
      </c>
      <c r="E39">
        <v>12</v>
      </c>
      <c r="I39" t="s">
        <v>104</v>
      </c>
      <c r="J39" t="s">
        <v>106</v>
      </c>
      <c r="K39">
        <v>12</v>
      </c>
      <c r="N39" t="s">
        <v>88</v>
      </c>
      <c r="O39" t="s">
        <v>123</v>
      </c>
      <c r="P39">
        <v>2</v>
      </c>
      <c r="X39" t="s">
        <v>88</v>
      </c>
      <c r="Y39" t="s">
        <v>93</v>
      </c>
      <c r="Z39">
        <f t="shared" si="4"/>
        <v>5</v>
      </c>
      <c r="AD39" t="s">
        <v>104</v>
      </c>
      <c r="AE39" t="s">
        <v>106</v>
      </c>
      <c r="AF39">
        <v>12</v>
      </c>
      <c r="AI39" t="s">
        <v>88</v>
      </c>
      <c r="AJ39" t="s">
        <v>123</v>
      </c>
      <c r="AK39">
        <f t="shared" si="3"/>
        <v>1</v>
      </c>
    </row>
    <row r="40" spans="2:37" x14ac:dyDescent="0.2">
      <c r="C40" t="s">
        <v>104</v>
      </c>
      <c r="D40" t="s">
        <v>107</v>
      </c>
      <c r="E40">
        <v>6</v>
      </c>
      <c r="I40" t="s">
        <v>104</v>
      </c>
      <c r="J40" t="s">
        <v>107</v>
      </c>
      <c r="K40">
        <v>6</v>
      </c>
      <c r="N40" t="s">
        <v>88</v>
      </c>
      <c r="O40" t="s">
        <v>174</v>
      </c>
      <c r="P40">
        <v>1</v>
      </c>
      <c r="X40" t="s">
        <v>88</v>
      </c>
      <c r="Y40" t="s">
        <v>109</v>
      </c>
      <c r="Z40">
        <f t="shared" si="4"/>
        <v>5</v>
      </c>
      <c r="AD40" t="s">
        <v>104</v>
      </c>
      <c r="AE40" t="s">
        <v>107</v>
      </c>
      <c r="AF40">
        <v>6</v>
      </c>
      <c r="AI40" t="s">
        <v>88</v>
      </c>
      <c r="AJ40" t="s">
        <v>127</v>
      </c>
      <c r="AK40">
        <f t="shared" si="3"/>
        <v>1</v>
      </c>
    </row>
    <row r="41" spans="2:37" x14ac:dyDescent="0.2">
      <c r="C41" t="s">
        <v>104</v>
      </c>
      <c r="D41" t="s">
        <v>105</v>
      </c>
      <c r="E41">
        <v>4</v>
      </c>
      <c r="I41" t="s">
        <v>104</v>
      </c>
      <c r="J41" t="s">
        <v>105</v>
      </c>
      <c r="K41">
        <v>4</v>
      </c>
      <c r="N41" t="s">
        <v>88</v>
      </c>
      <c r="O41" t="s">
        <v>92</v>
      </c>
      <c r="P41">
        <v>1</v>
      </c>
      <c r="X41" t="s">
        <v>88</v>
      </c>
      <c r="Y41" t="s">
        <v>90</v>
      </c>
      <c r="Z41">
        <f t="shared" si="4"/>
        <v>4</v>
      </c>
      <c r="AD41" t="s">
        <v>104</v>
      </c>
      <c r="AE41" t="s">
        <v>105</v>
      </c>
      <c r="AF41">
        <v>4</v>
      </c>
      <c r="AI41" t="s">
        <v>88</v>
      </c>
      <c r="AJ41" t="s">
        <v>128</v>
      </c>
      <c r="AK41">
        <f t="shared" si="3"/>
        <v>1</v>
      </c>
    </row>
    <row r="42" spans="2:37" x14ac:dyDescent="0.2">
      <c r="C42" t="s">
        <v>104</v>
      </c>
      <c r="D42" t="s">
        <v>120</v>
      </c>
      <c r="E42">
        <v>1</v>
      </c>
      <c r="I42" t="s">
        <v>104</v>
      </c>
      <c r="J42" t="s">
        <v>120</v>
      </c>
      <c r="K42">
        <v>1</v>
      </c>
      <c r="N42" t="s">
        <v>88</v>
      </c>
      <c r="O42" t="s">
        <v>90</v>
      </c>
      <c r="P42">
        <v>1</v>
      </c>
      <c r="X42" t="s">
        <v>88</v>
      </c>
      <c r="Y42" t="s">
        <v>98</v>
      </c>
      <c r="Z42">
        <f t="shared" si="4"/>
        <v>4</v>
      </c>
      <c r="AD42" t="s">
        <v>104</v>
      </c>
      <c r="AE42" t="s">
        <v>120</v>
      </c>
      <c r="AF42">
        <v>1</v>
      </c>
      <c r="AI42" t="s">
        <v>88</v>
      </c>
      <c r="AJ42" t="s">
        <v>129</v>
      </c>
      <c r="AK42">
        <f t="shared" si="3"/>
        <v>1</v>
      </c>
    </row>
    <row r="43" spans="2:37" x14ac:dyDescent="0.2">
      <c r="B43" t="s">
        <v>21</v>
      </c>
      <c r="C43" t="s">
        <v>88</v>
      </c>
      <c r="D43" t="s">
        <v>94</v>
      </c>
      <c r="E43">
        <v>5</v>
      </c>
      <c r="I43" t="s">
        <v>88</v>
      </c>
      <c r="J43" t="s">
        <v>94</v>
      </c>
      <c r="K43">
        <v>5</v>
      </c>
      <c r="N43" t="s">
        <v>88</v>
      </c>
      <c r="O43" t="s">
        <v>175</v>
      </c>
      <c r="P43">
        <v>1</v>
      </c>
      <c r="X43" t="s">
        <v>88</v>
      </c>
      <c r="Y43" t="s">
        <v>99</v>
      </c>
      <c r="Z43">
        <f t="shared" si="4"/>
        <v>4</v>
      </c>
      <c r="AD43" t="s">
        <v>88</v>
      </c>
      <c r="AE43" t="s">
        <v>94</v>
      </c>
      <c r="AF43">
        <v>5</v>
      </c>
    </row>
    <row r="44" spans="2:37" x14ac:dyDescent="0.2">
      <c r="D44" t="s">
        <v>121</v>
      </c>
      <c r="E44">
        <v>3</v>
      </c>
      <c r="J44" t="s">
        <v>121</v>
      </c>
      <c r="K44">
        <v>3</v>
      </c>
      <c r="N44" t="s">
        <v>88</v>
      </c>
      <c r="O44" t="s">
        <v>133</v>
      </c>
      <c r="P44">
        <v>1</v>
      </c>
      <c r="X44" t="s">
        <v>88</v>
      </c>
      <c r="Y44" t="s">
        <v>114</v>
      </c>
      <c r="Z44">
        <f t="shared" si="4"/>
        <v>4</v>
      </c>
      <c r="AD44" t="s">
        <v>88</v>
      </c>
      <c r="AE44" t="s">
        <v>121</v>
      </c>
      <c r="AF44">
        <v>3</v>
      </c>
    </row>
    <row r="45" spans="2:37" x14ac:dyDescent="0.2">
      <c r="D45" t="s">
        <v>95</v>
      </c>
      <c r="E45">
        <v>2</v>
      </c>
      <c r="J45" t="s">
        <v>95</v>
      </c>
      <c r="K45">
        <v>2</v>
      </c>
      <c r="N45" t="s">
        <v>88</v>
      </c>
      <c r="O45" t="s">
        <v>163</v>
      </c>
      <c r="P45">
        <v>1</v>
      </c>
      <c r="X45" t="s">
        <v>88</v>
      </c>
      <c r="Y45" t="s">
        <v>160</v>
      </c>
      <c r="Z45">
        <f t="shared" si="4"/>
        <v>4</v>
      </c>
      <c r="AD45" t="s">
        <v>88</v>
      </c>
      <c r="AE45" t="s">
        <v>95</v>
      </c>
      <c r="AF45">
        <v>2</v>
      </c>
    </row>
    <row r="46" spans="2:37" x14ac:dyDescent="0.2">
      <c r="D46" t="s">
        <v>89</v>
      </c>
      <c r="E46">
        <v>2</v>
      </c>
      <c r="J46" t="s">
        <v>89</v>
      </c>
      <c r="K46">
        <v>2</v>
      </c>
      <c r="N46" t="s">
        <v>100</v>
      </c>
      <c r="O46" t="s">
        <v>125</v>
      </c>
      <c r="P46">
        <v>1</v>
      </c>
      <c r="X46" t="s">
        <v>88</v>
      </c>
      <c r="Y46" t="s">
        <v>161</v>
      </c>
      <c r="Z46">
        <f t="shared" si="4"/>
        <v>4</v>
      </c>
      <c r="AD46" t="s">
        <v>88</v>
      </c>
      <c r="AE46" t="s">
        <v>89</v>
      </c>
      <c r="AF46">
        <v>2</v>
      </c>
    </row>
    <row r="47" spans="2:37" x14ac:dyDescent="0.2">
      <c r="D47" t="s">
        <v>97</v>
      </c>
      <c r="E47">
        <v>2</v>
      </c>
      <c r="J47" t="s">
        <v>97</v>
      </c>
      <c r="K47">
        <v>2</v>
      </c>
      <c r="N47" t="s">
        <v>104</v>
      </c>
      <c r="O47" t="s">
        <v>106</v>
      </c>
      <c r="P47">
        <v>6</v>
      </c>
      <c r="X47" t="s">
        <v>88</v>
      </c>
      <c r="Y47" t="s">
        <v>91</v>
      </c>
      <c r="Z47">
        <f t="shared" si="4"/>
        <v>3</v>
      </c>
      <c r="AD47" t="s">
        <v>88</v>
      </c>
      <c r="AE47" t="s">
        <v>97</v>
      </c>
      <c r="AF47">
        <v>2</v>
      </c>
    </row>
    <row r="48" spans="2:37" x14ac:dyDescent="0.2">
      <c r="D48" t="s">
        <v>109</v>
      </c>
      <c r="E48">
        <v>1</v>
      </c>
      <c r="J48" t="s">
        <v>109</v>
      </c>
      <c r="K48">
        <v>1</v>
      </c>
      <c r="N48" t="s">
        <v>104</v>
      </c>
      <c r="O48" t="s">
        <v>105</v>
      </c>
      <c r="P48">
        <v>5</v>
      </c>
      <c r="X48" t="s">
        <v>88</v>
      </c>
      <c r="Y48" t="s">
        <v>97</v>
      </c>
      <c r="Z48">
        <f t="shared" si="4"/>
        <v>3</v>
      </c>
      <c r="AD48" t="s">
        <v>88</v>
      </c>
      <c r="AE48" t="s">
        <v>109</v>
      </c>
      <c r="AF48">
        <v>1</v>
      </c>
    </row>
    <row r="49" spans="2:32" x14ac:dyDescent="0.2">
      <c r="D49" t="s">
        <v>110</v>
      </c>
      <c r="E49">
        <v>1</v>
      </c>
      <c r="J49" t="s">
        <v>110</v>
      </c>
      <c r="K49">
        <v>1</v>
      </c>
      <c r="N49" t="s">
        <v>104</v>
      </c>
      <c r="O49" t="s">
        <v>107</v>
      </c>
      <c r="P49">
        <v>2</v>
      </c>
      <c r="X49" t="s">
        <v>88</v>
      </c>
      <c r="Y49" t="s">
        <v>113</v>
      </c>
      <c r="Z49">
        <f t="shared" si="4"/>
        <v>3</v>
      </c>
      <c r="AD49" t="s">
        <v>88</v>
      </c>
      <c r="AE49" t="s">
        <v>110</v>
      </c>
      <c r="AF49">
        <v>1</v>
      </c>
    </row>
    <row r="50" spans="2:32" x14ac:dyDescent="0.2">
      <c r="D50" t="s">
        <v>122</v>
      </c>
      <c r="E50">
        <v>1</v>
      </c>
      <c r="J50" t="s">
        <v>122</v>
      </c>
      <c r="K50">
        <v>1</v>
      </c>
      <c r="N50" t="s">
        <v>104</v>
      </c>
      <c r="O50" t="s">
        <v>120</v>
      </c>
      <c r="P50">
        <v>1</v>
      </c>
      <c r="X50" t="s">
        <v>88</v>
      </c>
      <c r="Y50" t="s">
        <v>118</v>
      </c>
      <c r="Z50">
        <f t="shared" si="4"/>
        <v>3</v>
      </c>
      <c r="AD50" t="s">
        <v>88</v>
      </c>
      <c r="AE50" t="s">
        <v>122</v>
      </c>
      <c r="AF50">
        <v>1</v>
      </c>
    </row>
    <row r="51" spans="2:32" x14ac:dyDescent="0.2">
      <c r="D51" t="s">
        <v>123</v>
      </c>
      <c r="E51">
        <v>1</v>
      </c>
      <c r="J51" t="s">
        <v>123</v>
      </c>
      <c r="K51">
        <v>1</v>
      </c>
      <c r="N51" t="s">
        <v>88</v>
      </c>
      <c r="O51" t="s">
        <v>161</v>
      </c>
      <c r="P51">
        <v>4</v>
      </c>
      <c r="X51" t="s">
        <v>88</v>
      </c>
      <c r="Y51" t="s">
        <v>128</v>
      </c>
      <c r="Z51">
        <f t="shared" si="4"/>
        <v>3</v>
      </c>
      <c r="AD51" t="s">
        <v>88</v>
      </c>
      <c r="AE51" t="s">
        <v>123</v>
      </c>
      <c r="AF51">
        <v>1</v>
      </c>
    </row>
    <row r="52" spans="2:32" x14ac:dyDescent="0.2">
      <c r="D52" t="s">
        <v>99</v>
      </c>
      <c r="E52">
        <v>1</v>
      </c>
      <c r="J52" t="s">
        <v>99</v>
      </c>
      <c r="K52">
        <v>1</v>
      </c>
      <c r="N52" t="s">
        <v>88</v>
      </c>
      <c r="O52" t="s">
        <v>181</v>
      </c>
      <c r="P52">
        <v>2</v>
      </c>
      <c r="X52" t="s">
        <v>88</v>
      </c>
      <c r="Y52" t="s">
        <v>177</v>
      </c>
      <c r="Z52">
        <f t="shared" si="4"/>
        <v>3</v>
      </c>
      <c r="AD52" t="s">
        <v>88</v>
      </c>
      <c r="AE52" t="s">
        <v>99</v>
      </c>
      <c r="AF52">
        <v>1</v>
      </c>
    </row>
    <row r="53" spans="2:32" x14ac:dyDescent="0.2">
      <c r="D53" t="s">
        <v>117</v>
      </c>
      <c r="E53">
        <v>1</v>
      </c>
      <c r="J53" t="s">
        <v>117</v>
      </c>
      <c r="K53">
        <v>1</v>
      </c>
      <c r="N53" t="s">
        <v>88</v>
      </c>
      <c r="O53" t="s">
        <v>180</v>
      </c>
      <c r="P53">
        <v>1</v>
      </c>
      <c r="X53" t="s">
        <v>88</v>
      </c>
      <c r="Y53" t="s">
        <v>110</v>
      </c>
      <c r="Z53">
        <f t="shared" si="4"/>
        <v>2</v>
      </c>
      <c r="AD53" t="s">
        <v>88</v>
      </c>
      <c r="AE53" t="s">
        <v>117</v>
      </c>
      <c r="AF53">
        <v>1</v>
      </c>
    </row>
    <row r="54" spans="2:32" x14ac:dyDescent="0.2">
      <c r="C54" t="s">
        <v>100</v>
      </c>
      <c r="D54" t="s">
        <v>124</v>
      </c>
      <c r="E54">
        <v>1</v>
      </c>
      <c r="I54" t="s">
        <v>100</v>
      </c>
      <c r="J54" t="s">
        <v>124</v>
      </c>
      <c r="K54">
        <v>1</v>
      </c>
      <c r="N54" t="s">
        <v>88</v>
      </c>
      <c r="O54" t="s">
        <v>122</v>
      </c>
      <c r="P54">
        <v>1</v>
      </c>
      <c r="X54" t="s">
        <v>88</v>
      </c>
      <c r="Y54" t="s">
        <v>123</v>
      </c>
      <c r="Z54">
        <f t="shared" ref="Z54:Z85" si="5">SUMIF(J:J, Y54, K:K)</f>
        <v>2</v>
      </c>
      <c r="AD54" t="s">
        <v>100</v>
      </c>
      <c r="AE54" t="s">
        <v>124</v>
      </c>
      <c r="AF54">
        <v>1</v>
      </c>
    </row>
    <row r="55" spans="2:32" x14ac:dyDescent="0.2">
      <c r="D55" t="s">
        <v>125</v>
      </c>
      <c r="E55">
        <v>1</v>
      </c>
      <c r="J55" t="s">
        <v>125</v>
      </c>
      <c r="K55">
        <v>1</v>
      </c>
      <c r="N55" t="s">
        <v>88</v>
      </c>
      <c r="O55" t="s">
        <v>111</v>
      </c>
      <c r="P55">
        <v>1</v>
      </c>
      <c r="X55" t="s">
        <v>88</v>
      </c>
      <c r="Y55" t="s">
        <v>133</v>
      </c>
      <c r="Z55">
        <f t="shared" si="5"/>
        <v>2</v>
      </c>
      <c r="AD55" t="s">
        <v>100</v>
      </c>
      <c r="AE55" t="s">
        <v>125</v>
      </c>
      <c r="AF55">
        <v>1</v>
      </c>
    </row>
    <row r="56" spans="2:32" x14ac:dyDescent="0.2">
      <c r="C56" t="s">
        <v>104</v>
      </c>
      <c r="D56" t="s">
        <v>106</v>
      </c>
      <c r="E56">
        <v>8</v>
      </c>
      <c r="I56" t="s">
        <v>104</v>
      </c>
      <c r="J56" t="s">
        <v>106</v>
      </c>
      <c r="K56">
        <v>8</v>
      </c>
      <c r="N56" t="s">
        <v>88</v>
      </c>
      <c r="O56" t="s">
        <v>165</v>
      </c>
      <c r="P56">
        <v>1</v>
      </c>
      <c r="X56" t="s">
        <v>88</v>
      </c>
      <c r="Y56" t="s">
        <v>132</v>
      </c>
      <c r="Z56">
        <f t="shared" si="5"/>
        <v>2</v>
      </c>
      <c r="AD56" t="s">
        <v>104</v>
      </c>
      <c r="AE56" t="s">
        <v>106</v>
      </c>
      <c r="AF56">
        <v>8</v>
      </c>
    </row>
    <row r="57" spans="2:32" x14ac:dyDescent="0.2">
      <c r="D57" t="s">
        <v>107</v>
      </c>
      <c r="E57">
        <v>7</v>
      </c>
      <c r="J57" t="s">
        <v>107</v>
      </c>
      <c r="K57">
        <v>7</v>
      </c>
      <c r="N57" t="s">
        <v>104</v>
      </c>
      <c r="O57" t="s">
        <v>107</v>
      </c>
      <c r="P57">
        <v>8</v>
      </c>
      <c r="X57" t="s">
        <v>88</v>
      </c>
      <c r="Y57" t="s">
        <v>136</v>
      </c>
      <c r="Z57">
        <f t="shared" si="5"/>
        <v>2</v>
      </c>
      <c r="AD57" t="s">
        <v>104</v>
      </c>
      <c r="AE57" t="s">
        <v>107</v>
      </c>
      <c r="AF57">
        <v>7</v>
      </c>
    </row>
    <row r="58" spans="2:32" x14ac:dyDescent="0.2">
      <c r="D58" t="s">
        <v>105</v>
      </c>
      <c r="E58">
        <v>3</v>
      </c>
      <c r="J58" t="s">
        <v>105</v>
      </c>
      <c r="K58">
        <v>3</v>
      </c>
      <c r="N58" t="s">
        <v>104</v>
      </c>
      <c r="O58" t="s">
        <v>105</v>
      </c>
      <c r="P58">
        <v>2</v>
      </c>
      <c r="X58" t="s">
        <v>88</v>
      </c>
      <c r="Y58" t="s">
        <v>138</v>
      </c>
      <c r="Z58">
        <f t="shared" si="5"/>
        <v>2</v>
      </c>
      <c r="AD58" t="s">
        <v>104</v>
      </c>
      <c r="AE58" t="s">
        <v>105</v>
      </c>
      <c r="AF58">
        <v>3</v>
      </c>
    </row>
    <row r="59" spans="2:32" x14ac:dyDescent="0.2">
      <c r="D59" t="s">
        <v>120</v>
      </c>
      <c r="E59">
        <v>2</v>
      </c>
      <c r="J59" t="s">
        <v>120</v>
      </c>
      <c r="K59">
        <v>2</v>
      </c>
      <c r="N59" t="s">
        <v>88</v>
      </c>
      <c r="O59" t="s">
        <v>144</v>
      </c>
      <c r="P59">
        <v>1</v>
      </c>
      <c r="X59" t="s">
        <v>88</v>
      </c>
      <c r="Y59" t="s">
        <v>142</v>
      </c>
      <c r="Z59">
        <f t="shared" si="5"/>
        <v>2</v>
      </c>
      <c r="AD59" t="s">
        <v>104</v>
      </c>
      <c r="AE59" t="s">
        <v>120</v>
      </c>
      <c r="AF59">
        <v>2</v>
      </c>
    </row>
    <row r="60" spans="2:32" x14ac:dyDescent="0.2">
      <c r="B60" t="s">
        <v>22</v>
      </c>
      <c r="C60" t="s">
        <v>88</v>
      </c>
      <c r="D60" t="s">
        <v>93</v>
      </c>
      <c r="E60">
        <v>2</v>
      </c>
      <c r="I60" t="s">
        <v>88</v>
      </c>
      <c r="J60" t="s">
        <v>93</v>
      </c>
      <c r="K60">
        <v>2</v>
      </c>
      <c r="N60" t="s">
        <v>88</v>
      </c>
      <c r="O60" t="s">
        <v>97</v>
      </c>
      <c r="P60">
        <v>1</v>
      </c>
      <c r="X60" t="s">
        <v>88</v>
      </c>
      <c r="Y60" t="s">
        <v>144</v>
      </c>
      <c r="Z60">
        <f t="shared" si="5"/>
        <v>2</v>
      </c>
      <c r="AD60" t="s">
        <v>88</v>
      </c>
      <c r="AE60" t="s">
        <v>93</v>
      </c>
      <c r="AF60">
        <v>2</v>
      </c>
    </row>
    <row r="61" spans="2:32" x14ac:dyDescent="0.2">
      <c r="D61" t="s">
        <v>126</v>
      </c>
      <c r="E61">
        <v>2</v>
      </c>
      <c r="J61" t="s">
        <v>126</v>
      </c>
      <c r="K61">
        <v>2</v>
      </c>
      <c r="N61" t="s">
        <v>88</v>
      </c>
      <c r="O61" t="s">
        <v>161</v>
      </c>
      <c r="P61">
        <v>1</v>
      </c>
      <c r="X61" t="s">
        <v>88</v>
      </c>
      <c r="Y61" t="s">
        <v>152</v>
      </c>
      <c r="Z61">
        <f t="shared" si="5"/>
        <v>2</v>
      </c>
      <c r="AD61" t="s">
        <v>88</v>
      </c>
      <c r="AE61" t="s">
        <v>126</v>
      </c>
      <c r="AF61">
        <v>2</v>
      </c>
    </row>
    <row r="62" spans="2:32" x14ac:dyDescent="0.2">
      <c r="D62" t="s">
        <v>127</v>
      </c>
      <c r="E62">
        <v>1</v>
      </c>
      <c r="J62" t="s">
        <v>127</v>
      </c>
      <c r="K62">
        <v>1</v>
      </c>
      <c r="N62" t="s">
        <v>88</v>
      </c>
      <c r="O62" t="s">
        <v>98</v>
      </c>
      <c r="P62">
        <v>1</v>
      </c>
      <c r="X62" t="s">
        <v>88</v>
      </c>
      <c r="Y62" t="s">
        <v>155</v>
      </c>
      <c r="Z62">
        <f t="shared" si="5"/>
        <v>2</v>
      </c>
      <c r="AD62" t="s">
        <v>88</v>
      </c>
      <c r="AE62" t="s">
        <v>127</v>
      </c>
      <c r="AF62">
        <v>1</v>
      </c>
    </row>
    <row r="63" spans="2:32" x14ac:dyDescent="0.2">
      <c r="D63" t="s">
        <v>128</v>
      </c>
      <c r="E63">
        <v>1</v>
      </c>
      <c r="J63" t="s">
        <v>128</v>
      </c>
      <c r="K63">
        <v>1</v>
      </c>
      <c r="N63" t="s">
        <v>88</v>
      </c>
      <c r="O63" t="s">
        <v>176</v>
      </c>
      <c r="P63">
        <v>1</v>
      </c>
      <c r="X63" t="s">
        <v>88</v>
      </c>
      <c r="Y63" t="s">
        <v>154</v>
      </c>
      <c r="Z63">
        <f t="shared" si="5"/>
        <v>2</v>
      </c>
      <c r="AD63" t="s">
        <v>88</v>
      </c>
      <c r="AE63" t="s">
        <v>128</v>
      </c>
      <c r="AF63">
        <v>1</v>
      </c>
    </row>
    <row r="64" spans="2:32" x14ac:dyDescent="0.2">
      <c r="D64" t="s">
        <v>129</v>
      </c>
      <c r="E64">
        <v>1</v>
      </c>
      <c r="J64" t="s">
        <v>129</v>
      </c>
      <c r="K64">
        <v>1</v>
      </c>
      <c r="N64" t="s">
        <v>88</v>
      </c>
      <c r="O64" t="s">
        <v>133</v>
      </c>
      <c r="P64">
        <v>1</v>
      </c>
      <c r="X64" t="s">
        <v>88</v>
      </c>
      <c r="Y64" t="s">
        <v>156</v>
      </c>
      <c r="Z64">
        <f t="shared" si="5"/>
        <v>2</v>
      </c>
      <c r="AD64" t="s">
        <v>88</v>
      </c>
      <c r="AE64" t="s">
        <v>129</v>
      </c>
      <c r="AF64">
        <v>1</v>
      </c>
    </row>
    <row r="65" spans="1:32" x14ac:dyDescent="0.2">
      <c r="D65" t="s">
        <v>98</v>
      </c>
      <c r="E65">
        <v>1</v>
      </c>
      <c r="J65" t="s">
        <v>98</v>
      </c>
      <c r="K65">
        <v>1</v>
      </c>
      <c r="N65" t="s">
        <v>88</v>
      </c>
      <c r="O65" t="s">
        <v>114</v>
      </c>
      <c r="P65">
        <v>1</v>
      </c>
      <c r="X65" t="s">
        <v>88</v>
      </c>
      <c r="Y65" t="s">
        <v>163</v>
      </c>
      <c r="Z65">
        <f t="shared" si="5"/>
        <v>2</v>
      </c>
      <c r="AD65" t="s">
        <v>88</v>
      </c>
      <c r="AE65" t="s">
        <v>98</v>
      </c>
      <c r="AF65">
        <v>1</v>
      </c>
    </row>
    <row r="66" spans="1:32" x14ac:dyDescent="0.2">
      <c r="D66" t="s">
        <v>99</v>
      </c>
      <c r="E66">
        <v>1</v>
      </c>
      <c r="J66" t="s">
        <v>99</v>
      </c>
      <c r="K66">
        <v>1</v>
      </c>
      <c r="N66" t="s">
        <v>88</v>
      </c>
      <c r="O66" t="s">
        <v>115</v>
      </c>
      <c r="P66">
        <v>1</v>
      </c>
      <c r="X66" t="s">
        <v>88</v>
      </c>
      <c r="Y66" t="s">
        <v>164</v>
      </c>
      <c r="Z66">
        <f t="shared" si="5"/>
        <v>2</v>
      </c>
      <c r="AD66" t="s">
        <v>88</v>
      </c>
      <c r="AE66" t="s">
        <v>99</v>
      </c>
      <c r="AF66">
        <v>1</v>
      </c>
    </row>
    <row r="67" spans="1:32" x14ac:dyDescent="0.2">
      <c r="D67" t="s">
        <v>114</v>
      </c>
      <c r="E67">
        <v>1</v>
      </c>
      <c r="J67" t="s">
        <v>114</v>
      </c>
      <c r="K67">
        <v>1</v>
      </c>
      <c r="N67" t="s">
        <v>88</v>
      </c>
      <c r="O67" t="s">
        <v>121</v>
      </c>
      <c r="P67">
        <v>1</v>
      </c>
      <c r="X67" t="s">
        <v>88</v>
      </c>
      <c r="Y67" t="s">
        <v>166</v>
      </c>
      <c r="Z67">
        <f t="shared" si="5"/>
        <v>2</v>
      </c>
      <c r="AD67" t="s">
        <v>88</v>
      </c>
      <c r="AE67" t="s">
        <v>114</v>
      </c>
      <c r="AF67">
        <v>1</v>
      </c>
    </row>
    <row r="68" spans="1:32" x14ac:dyDescent="0.2">
      <c r="C68" t="s">
        <v>100</v>
      </c>
      <c r="D68" t="s">
        <v>102</v>
      </c>
      <c r="E68">
        <v>1</v>
      </c>
      <c r="I68" t="s">
        <v>100</v>
      </c>
      <c r="J68" t="s">
        <v>102</v>
      </c>
      <c r="K68">
        <v>1</v>
      </c>
      <c r="N68" t="s">
        <v>100</v>
      </c>
      <c r="O68" t="s">
        <v>124</v>
      </c>
      <c r="P68">
        <v>1</v>
      </c>
      <c r="X68" t="s">
        <v>88</v>
      </c>
      <c r="Y68" t="s">
        <v>171</v>
      </c>
      <c r="Z68">
        <f t="shared" si="5"/>
        <v>2</v>
      </c>
      <c r="AD68" t="s">
        <v>100</v>
      </c>
      <c r="AE68" t="s">
        <v>102</v>
      </c>
      <c r="AF68">
        <v>1</v>
      </c>
    </row>
    <row r="69" spans="1:32" x14ac:dyDescent="0.2">
      <c r="C69" t="s">
        <v>104</v>
      </c>
      <c r="D69" t="s">
        <v>107</v>
      </c>
      <c r="E69">
        <v>4</v>
      </c>
      <c r="I69" t="s">
        <v>104</v>
      </c>
      <c r="J69" t="s">
        <v>107</v>
      </c>
      <c r="K69">
        <v>4</v>
      </c>
      <c r="N69" t="s">
        <v>104</v>
      </c>
      <c r="O69" t="s">
        <v>107</v>
      </c>
      <c r="P69">
        <v>5</v>
      </c>
      <c r="X69" t="s">
        <v>88</v>
      </c>
      <c r="Y69" t="s">
        <v>174</v>
      </c>
      <c r="Z69">
        <f t="shared" si="5"/>
        <v>2</v>
      </c>
      <c r="AD69" t="s">
        <v>104</v>
      </c>
      <c r="AE69" t="s">
        <v>107</v>
      </c>
      <c r="AF69">
        <v>4</v>
      </c>
    </row>
    <row r="70" spans="1:32" x14ac:dyDescent="0.2">
      <c r="D70" t="s">
        <v>106</v>
      </c>
      <c r="E70">
        <v>2</v>
      </c>
      <c r="J70" t="s">
        <v>106</v>
      </c>
      <c r="K70">
        <v>2</v>
      </c>
      <c r="N70" t="s">
        <v>104</v>
      </c>
      <c r="O70" t="s">
        <v>106</v>
      </c>
      <c r="P70">
        <v>3</v>
      </c>
      <c r="X70" t="s">
        <v>88</v>
      </c>
      <c r="Y70" t="s">
        <v>96</v>
      </c>
      <c r="Z70">
        <f t="shared" si="5"/>
        <v>1</v>
      </c>
      <c r="AD70" t="s">
        <v>104</v>
      </c>
      <c r="AE70" t="s">
        <v>106</v>
      </c>
      <c r="AF70">
        <v>2</v>
      </c>
    </row>
    <row r="71" spans="1:32" x14ac:dyDescent="0.2">
      <c r="D71" t="s">
        <v>105</v>
      </c>
      <c r="E71">
        <v>2</v>
      </c>
      <c r="J71" t="s">
        <v>105</v>
      </c>
      <c r="K71">
        <v>2</v>
      </c>
      <c r="N71" t="s">
        <v>104</v>
      </c>
      <c r="O71" t="s">
        <v>105</v>
      </c>
      <c r="P71">
        <v>1</v>
      </c>
      <c r="X71" t="s">
        <v>88</v>
      </c>
      <c r="Y71" t="s">
        <v>111</v>
      </c>
      <c r="Z71">
        <f t="shared" si="5"/>
        <v>1</v>
      </c>
      <c r="AD71" t="s">
        <v>104</v>
      </c>
      <c r="AE71" t="s">
        <v>105</v>
      </c>
      <c r="AF71">
        <v>2</v>
      </c>
    </row>
    <row r="72" spans="1:32" x14ac:dyDescent="0.2">
      <c r="D72" t="s">
        <v>120</v>
      </c>
      <c r="E72">
        <v>2</v>
      </c>
      <c r="J72" t="s">
        <v>120</v>
      </c>
      <c r="K72">
        <v>2</v>
      </c>
      <c r="N72" t="s">
        <v>88</v>
      </c>
      <c r="O72" t="s">
        <v>93</v>
      </c>
      <c r="P72">
        <v>4</v>
      </c>
      <c r="X72" t="s">
        <v>88</v>
      </c>
      <c r="Y72" t="s">
        <v>112</v>
      </c>
      <c r="Z72">
        <f t="shared" si="5"/>
        <v>1</v>
      </c>
      <c r="AD72" t="s">
        <v>104</v>
      </c>
      <c r="AE72" t="s">
        <v>120</v>
      </c>
      <c r="AF72">
        <v>2</v>
      </c>
    </row>
    <row r="73" spans="1:32" x14ac:dyDescent="0.2">
      <c r="N73" t="s">
        <v>88</v>
      </c>
      <c r="O73" t="s">
        <v>122</v>
      </c>
      <c r="P73">
        <v>2</v>
      </c>
      <c r="X73" t="s">
        <v>88</v>
      </c>
      <c r="Y73" t="s">
        <v>115</v>
      </c>
      <c r="Z73">
        <f t="shared" si="5"/>
        <v>1</v>
      </c>
    </row>
    <row r="74" spans="1:32" x14ac:dyDescent="0.2">
      <c r="A74" t="s">
        <v>9</v>
      </c>
      <c r="B74" t="s">
        <v>25</v>
      </c>
      <c r="C74" t="s">
        <v>88</v>
      </c>
      <c r="D74" t="s">
        <v>130</v>
      </c>
      <c r="E74">
        <v>1</v>
      </c>
      <c r="I74" t="s">
        <v>88</v>
      </c>
      <c r="J74" t="s">
        <v>130</v>
      </c>
      <c r="K74">
        <v>1</v>
      </c>
      <c r="N74" t="s">
        <v>88</v>
      </c>
      <c r="O74" t="s">
        <v>123</v>
      </c>
      <c r="P74">
        <v>2</v>
      </c>
      <c r="X74" t="s">
        <v>88</v>
      </c>
      <c r="Y74" t="s">
        <v>116</v>
      </c>
      <c r="Z74">
        <f t="shared" si="5"/>
        <v>1</v>
      </c>
    </row>
    <row r="75" spans="1:32" x14ac:dyDescent="0.2">
      <c r="C75" t="s">
        <v>100</v>
      </c>
      <c r="D75" t="s">
        <v>131</v>
      </c>
      <c r="E75">
        <v>1</v>
      </c>
      <c r="I75" t="s">
        <v>100</v>
      </c>
      <c r="J75" t="s">
        <v>131</v>
      </c>
      <c r="K75">
        <v>1</v>
      </c>
      <c r="N75" t="s">
        <v>88</v>
      </c>
      <c r="O75" t="s">
        <v>174</v>
      </c>
      <c r="P75">
        <v>1</v>
      </c>
      <c r="X75" t="s">
        <v>88</v>
      </c>
      <c r="Y75" t="s">
        <v>122</v>
      </c>
      <c r="Z75">
        <f t="shared" si="5"/>
        <v>1</v>
      </c>
    </row>
    <row r="76" spans="1:32" x14ac:dyDescent="0.2">
      <c r="C76" t="s">
        <v>104</v>
      </c>
      <c r="D76" t="s">
        <v>106</v>
      </c>
      <c r="E76">
        <v>1</v>
      </c>
      <c r="I76" t="s">
        <v>104</v>
      </c>
      <c r="J76" t="s">
        <v>106</v>
      </c>
      <c r="K76">
        <v>1</v>
      </c>
      <c r="N76" t="s">
        <v>88</v>
      </c>
      <c r="O76" t="s">
        <v>92</v>
      </c>
      <c r="P76">
        <v>1</v>
      </c>
      <c r="X76" t="s">
        <v>88</v>
      </c>
      <c r="Y76" t="s">
        <v>127</v>
      </c>
      <c r="Z76">
        <f t="shared" si="5"/>
        <v>1</v>
      </c>
    </row>
    <row r="77" spans="1:32" x14ac:dyDescent="0.2">
      <c r="B77" t="s">
        <v>26</v>
      </c>
      <c r="C77" t="s">
        <v>88</v>
      </c>
      <c r="D77" t="s">
        <v>133</v>
      </c>
      <c r="E77">
        <v>2</v>
      </c>
      <c r="I77" t="s">
        <v>88</v>
      </c>
      <c r="J77" t="s">
        <v>133</v>
      </c>
      <c r="K77">
        <v>2</v>
      </c>
      <c r="N77" t="s">
        <v>88</v>
      </c>
      <c r="O77" t="s">
        <v>90</v>
      </c>
      <c r="P77">
        <v>1</v>
      </c>
      <c r="X77" t="s">
        <v>88</v>
      </c>
      <c r="Y77" t="s">
        <v>130</v>
      </c>
      <c r="Z77">
        <f t="shared" si="5"/>
        <v>1</v>
      </c>
    </row>
    <row r="78" spans="1:32" x14ac:dyDescent="0.2">
      <c r="D78" t="s">
        <v>132</v>
      </c>
      <c r="E78">
        <v>1</v>
      </c>
      <c r="J78" t="s">
        <v>132</v>
      </c>
      <c r="K78">
        <v>1</v>
      </c>
      <c r="N78" t="s">
        <v>88</v>
      </c>
      <c r="O78" t="s">
        <v>175</v>
      </c>
      <c r="P78">
        <v>1</v>
      </c>
      <c r="X78" t="s">
        <v>88</v>
      </c>
      <c r="Y78" t="s">
        <v>135</v>
      </c>
      <c r="Z78">
        <f t="shared" si="5"/>
        <v>1</v>
      </c>
    </row>
    <row r="79" spans="1:32" x14ac:dyDescent="0.2">
      <c r="C79" t="s">
        <v>100</v>
      </c>
      <c r="D79" t="s">
        <v>134</v>
      </c>
      <c r="E79">
        <v>2</v>
      </c>
      <c r="I79" t="s">
        <v>100</v>
      </c>
      <c r="J79" t="s">
        <v>134</v>
      </c>
      <c r="K79">
        <v>2</v>
      </c>
      <c r="N79" t="s">
        <v>88</v>
      </c>
      <c r="O79" t="s">
        <v>133</v>
      </c>
      <c r="P79">
        <v>1</v>
      </c>
      <c r="X79" t="s">
        <v>88</v>
      </c>
      <c r="Y79" t="s">
        <v>141</v>
      </c>
      <c r="Z79">
        <f t="shared" si="5"/>
        <v>1</v>
      </c>
    </row>
    <row r="80" spans="1:32" x14ac:dyDescent="0.2">
      <c r="D80" t="s">
        <v>125</v>
      </c>
      <c r="E80">
        <v>1</v>
      </c>
      <c r="J80" t="s">
        <v>125</v>
      </c>
      <c r="K80">
        <v>1</v>
      </c>
      <c r="N80" t="s">
        <v>88</v>
      </c>
      <c r="O80" t="s">
        <v>163</v>
      </c>
      <c r="P80">
        <v>1</v>
      </c>
      <c r="X80" t="s">
        <v>88</v>
      </c>
      <c r="Y80" t="s">
        <v>143</v>
      </c>
      <c r="Z80">
        <f t="shared" si="5"/>
        <v>1</v>
      </c>
    </row>
    <row r="81" spans="2:26" x14ac:dyDescent="0.2">
      <c r="C81" t="s">
        <v>104</v>
      </c>
      <c r="D81" t="s">
        <v>106</v>
      </c>
      <c r="E81">
        <v>3</v>
      </c>
      <c r="I81" t="s">
        <v>104</v>
      </c>
      <c r="J81" t="s">
        <v>106</v>
      </c>
      <c r="K81">
        <v>3</v>
      </c>
      <c r="N81" t="s">
        <v>100</v>
      </c>
      <c r="O81" t="s">
        <v>125</v>
      </c>
      <c r="P81">
        <v>1</v>
      </c>
      <c r="X81" t="s">
        <v>88</v>
      </c>
      <c r="Y81" t="s">
        <v>149</v>
      </c>
      <c r="Z81">
        <f t="shared" si="5"/>
        <v>1</v>
      </c>
    </row>
    <row r="82" spans="2:26" x14ac:dyDescent="0.2">
      <c r="B82" t="s">
        <v>27</v>
      </c>
      <c r="C82" t="s">
        <v>88</v>
      </c>
      <c r="D82" t="s">
        <v>135</v>
      </c>
      <c r="E82">
        <v>1</v>
      </c>
      <c r="I82" t="s">
        <v>88</v>
      </c>
      <c r="J82" t="s">
        <v>135</v>
      </c>
      <c r="K82">
        <v>1</v>
      </c>
      <c r="N82" t="s">
        <v>104</v>
      </c>
      <c r="O82" t="s">
        <v>106</v>
      </c>
      <c r="P82">
        <v>6</v>
      </c>
      <c r="X82" t="s">
        <v>88</v>
      </c>
      <c r="Y82" t="s">
        <v>153</v>
      </c>
      <c r="Z82">
        <f t="shared" si="5"/>
        <v>1</v>
      </c>
    </row>
    <row r="83" spans="2:26" x14ac:dyDescent="0.2">
      <c r="D83" t="s">
        <v>132</v>
      </c>
      <c r="E83">
        <v>1</v>
      </c>
      <c r="J83" t="s">
        <v>132</v>
      </c>
      <c r="K83">
        <v>1</v>
      </c>
      <c r="N83" t="s">
        <v>104</v>
      </c>
      <c r="O83" t="s">
        <v>105</v>
      </c>
      <c r="P83">
        <v>5</v>
      </c>
      <c r="X83" t="s">
        <v>88</v>
      </c>
      <c r="Y83" t="s">
        <v>157</v>
      </c>
      <c r="Z83">
        <f t="shared" si="5"/>
        <v>1</v>
      </c>
    </row>
    <row r="84" spans="2:26" x14ac:dyDescent="0.2">
      <c r="D84" t="s">
        <v>136</v>
      </c>
      <c r="E84">
        <v>1</v>
      </c>
      <c r="J84" t="s">
        <v>136</v>
      </c>
      <c r="K84">
        <v>1</v>
      </c>
      <c r="N84" t="s">
        <v>104</v>
      </c>
      <c r="O84" t="s">
        <v>107</v>
      </c>
      <c r="P84">
        <v>2</v>
      </c>
      <c r="X84" t="s">
        <v>88</v>
      </c>
      <c r="Y84" t="s">
        <v>158</v>
      </c>
      <c r="Z84">
        <f t="shared" si="5"/>
        <v>1</v>
      </c>
    </row>
    <row r="85" spans="2:26" x14ac:dyDescent="0.2">
      <c r="C85" t="s">
        <v>100</v>
      </c>
      <c r="D85" t="s">
        <v>125</v>
      </c>
      <c r="E85">
        <v>2</v>
      </c>
      <c r="I85" t="s">
        <v>100</v>
      </c>
      <c r="J85" t="s">
        <v>125</v>
      </c>
      <c r="K85">
        <v>2</v>
      </c>
      <c r="N85" t="s">
        <v>104</v>
      </c>
      <c r="O85" t="s">
        <v>120</v>
      </c>
      <c r="P85">
        <v>1</v>
      </c>
      <c r="X85" t="s">
        <v>88</v>
      </c>
      <c r="Y85" t="s">
        <v>159</v>
      </c>
      <c r="Z85">
        <f t="shared" si="5"/>
        <v>1</v>
      </c>
    </row>
    <row r="86" spans="2:26" x14ac:dyDescent="0.2">
      <c r="D86" t="s">
        <v>137</v>
      </c>
      <c r="E86">
        <v>1</v>
      </c>
      <c r="J86" t="s">
        <v>137</v>
      </c>
      <c r="K86">
        <v>1</v>
      </c>
      <c r="X86" t="s">
        <v>88</v>
      </c>
      <c r="Y86" t="s">
        <v>165</v>
      </c>
      <c r="Z86">
        <f t="shared" ref="Z86:Z91" si="6">SUMIF(J:J, Y86, K:K)</f>
        <v>1</v>
      </c>
    </row>
    <row r="87" spans="2:26" x14ac:dyDescent="0.2">
      <c r="C87" t="s">
        <v>104</v>
      </c>
      <c r="D87" t="s">
        <v>107</v>
      </c>
      <c r="E87">
        <v>2</v>
      </c>
      <c r="I87" t="s">
        <v>104</v>
      </c>
      <c r="J87" t="s">
        <v>107</v>
      </c>
      <c r="K87">
        <v>2</v>
      </c>
      <c r="X87" t="s">
        <v>88</v>
      </c>
      <c r="Y87" t="s">
        <v>167</v>
      </c>
      <c r="Z87">
        <f t="shared" si="6"/>
        <v>1</v>
      </c>
    </row>
    <row r="88" spans="2:26" x14ac:dyDescent="0.2">
      <c r="D88" t="s">
        <v>106</v>
      </c>
      <c r="E88">
        <v>1</v>
      </c>
      <c r="J88" t="s">
        <v>106</v>
      </c>
      <c r="K88">
        <v>1</v>
      </c>
      <c r="X88" t="s">
        <v>88</v>
      </c>
      <c r="Y88" t="s">
        <v>173</v>
      </c>
      <c r="Z88">
        <f t="shared" si="6"/>
        <v>1</v>
      </c>
    </row>
    <row r="89" spans="2:26" x14ac:dyDescent="0.2">
      <c r="B89" t="s">
        <v>28</v>
      </c>
      <c r="C89" t="s">
        <v>88</v>
      </c>
      <c r="D89" t="s">
        <v>138</v>
      </c>
      <c r="E89">
        <v>1</v>
      </c>
      <c r="I89" t="s">
        <v>88</v>
      </c>
      <c r="J89" t="s">
        <v>138</v>
      </c>
      <c r="K89">
        <v>1</v>
      </c>
      <c r="X89" t="s">
        <v>88</v>
      </c>
      <c r="Y89" t="s">
        <v>175</v>
      </c>
      <c r="Z89">
        <f t="shared" si="6"/>
        <v>1</v>
      </c>
    </row>
    <row r="90" spans="2:26" x14ac:dyDescent="0.2">
      <c r="D90" t="s">
        <v>108</v>
      </c>
      <c r="E90">
        <v>1</v>
      </c>
      <c r="J90" t="s">
        <v>108</v>
      </c>
      <c r="K90">
        <v>1</v>
      </c>
      <c r="X90" t="s">
        <v>88</v>
      </c>
      <c r="Y90" t="s">
        <v>178</v>
      </c>
      <c r="Z90">
        <f t="shared" si="6"/>
        <v>1</v>
      </c>
    </row>
    <row r="91" spans="2:26" x14ac:dyDescent="0.2">
      <c r="C91" t="s">
        <v>100</v>
      </c>
      <c r="D91" t="s">
        <v>139</v>
      </c>
      <c r="E91">
        <v>1</v>
      </c>
      <c r="I91" t="s">
        <v>100</v>
      </c>
      <c r="J91" t="s">
        <v>139</v>
      </c>
      <c r="K91">
        <v>1</v>
      </c>
      <c r="X91" t="s">
        <v>88</v>
      </c>
      <c r="Y91" t="s">
        <v>179</v>
      </c>
      <c r="Z91">
        <f t="shared" si="6"/>
        <v>1</v>
      </c>
    </row>
    <row r="92" spans="2:26" x14ac:dyDescent="0.2">
      <c r="D92" t="s">
        <v>125</v>
      </c>
      <c r="E92">
        <v>1</v>
      </c>
      <c r="J92" t="s">
        <v>125</v>
      </c>
      <c r="K92">
        <v>1</v>
      </c>
    </row>
    <row r="93" spans="2:26" x14ac:dyDescent="0.2">
      <c r="C93" t="s">
        <v>104</v>
      </c>
      <c r="D93" t="s">
        <v>107</v>
      </c>
      <c r="E93">
        <v>2</v>
      </c>
      <c r="I93" t="s">
        <v>104</v>
      </c>
      <c r="J93" t="s">
        <v>107</v>
      </c>
      <c r="K93">
        <v>2</v>
      </c>
    </row>
    <row r="94" spans="2:26" x14ac:dyDescent="0.2">
      <c r="B94" t="s">
        <v>29</v>
      </c>
      <c r="C94" t="s">
        <v>88</v>
      </c>
      <c r="D94" t="s">
        <v>140</v>
      </c>
      <c r="E94">
        <v>4</v>
      </c>
      <c r="I94" t="s">
        <v>88</v>
      </c>
      <c r="J94" t="s">
        <v>140</v>
      </c>
      <c r="K94">
        <v>4</v>
      </c>
    </row>
    <row r="95" spans="2:26" x14ac:dyDescent="0.2">
      <c r="D95" t="s">
        <v>141</v>
      </c>
      <c r="E95">
        <v>1</v>
      </c>
      <c r="J95" t="s">
        <v>141</v>
      </c>
      <c r="K95">
        <v>1</v>
      </c>
    </row>
    <row r="96" spans="2:26" x14ac:dyDescent="0.2">
      <c r="D96" t="s">
        <v>142</v>
      </c>
      <c r="E96">
        <v>1</v>
      </c>
      <c r="J96" t="s">
        <v>142</v>
      </c>
      <c r="K96">
        <v>1</v>
      </c>
    </row>
    <row r="97" spans="2:11" x14ac:dyDescent="0.2">
      <c r="D97" t="s">
        <v>143</v>
      </c>
      <c r="E97">
        <v>1</v>
      </c>
      <c r="J97" t="s">
        <v>143</v>
      </c>
      <c r="K97">
        <v>1</v>
      </c>
    </row>
    <row r="98" spans="2:11" x14ac:dyDescent="0.2">
      <c r="D98" t="s">
        <v>138</v>
      </c>
      <c r="E98">
        <v>1</v>
      </c>
      <c r="J98" t="s">
        <v>138</v>
      </c>
      <c r="K98">
        <v>1</v>
      </c>
    </row>
    <row r="99" spans="2:11" x14ac:dyDescent="0.2">
      <c r="D99" t="s">
        <v>144</v>
      </c>
      <c r="E99">
        <v>1</v>
      </c>
      <c r="J99" t="s">
        <v>144</v>
      </c>
      <c r="K99">
        <v>1</v>
      </c>
    </row>
    <row r="100" spans="2:11" x14ac:dyDescent="0.2">
      <c r="D100" t="s">
        <v>114</v>
      </c>
      <c r="E100">
        <v>1</v>
      </c>
      <c r="J100" t="s">
        <v>114</v>
      </c>
      <c r="K100">
        <v>1</v>
      </c>
    </row>
    <row r="101" spans="2:11" x14ac:dyDescent="0.2">
      <c r="C101" t="s">
        <v>100</v>
      </c>
      <c r="D101" t="s">
        <v>103</v>
      </c>
      <c r="E101">
        <v>3</v>
      </c>
      <c r="I101" t="s">
        <v>100</v>
      </c>
      <c r="J101" t="s">
        <v>103</v>
      </c>
      <c r="K101">
        <v>3</v>
      </c>
    </row>
    <row r="102" spans="2:11" x14ac:dyDescent="0.2">
      <c r="D102" t="s">
        <v>145</v>
      </c>
      <c r="E102">
        <v>2</v>
      </c>
      <c r="J102" t="s">
        <v>145</v>
      </c>
      <c r="K102">
        <v>2</v>
      </c>
    </row>
    <row r="103" spans="2:11" x14ac:dyDescent="0.2">
      <c r="D103" t="s">
        <v>134</v>
      </c>
      <c r="E103">
        <v>2</v>
      </c>
      <c r="J103" t="s">
        <v>134</v>
      </c>
      <c r="K103">
        <v>2</v>
      </c>
    </row>
    <row r="104" spans="2:11" x14ac:dyDescent="0.2">
      <c r="D104" t="s">
        <v>146</v>
      </c>
      <c r="E104">
        <v>1</v>
      </c>
      <c r="J104" t="s">
        <v>146</v>
      </c>
      <c r="K104">
        <v>1</v>
      </c>
    </row>
    <row r="105" spans="2:11" x14ac:dyDescent="0.2">
      <c r="D105" t="s">
        <v>147</v>
      </c>
      <c r="E105">
        <v>1</v>
      </c>
      <c r="J105" t="s">
        <v>147</v>
      </c>
      <c r="K105">
        <v>1</v>
      </c>
    </row>
    <row r="106" spans="2:11" x14ac:dyDescent="0.2">
      <c r="D106" t="s">
        <v>148</v>
      </c>
      <c r="E106">
        <v>1</v>
      </c>
      <c r="J106" t="s">
        <v>148</v>
      </c>
      <c r="K106">
        <v>1</v>
      </c>
    </row>
    <row r="107" spans="2:11" x14ac:dyDescent="0.2">
      <c r="C107" t="s">
        <v>104</v>
      </c>
      <c r="D107" t="s">
        <v>105</v>
      </c>
      <c r="E107">
        <v>4</v>
      </c>
      <c r="I107" t="s">
        <v>104</v>
      </c>
      <c r="J107" t="s">
        <v>105</v>
      </c>
      <c r="K107">
        <v>4</v>
      </c>
    </row>
    <row r="108" spans="2:11" x14ac:dyDescent="0.2">
      <c r="D108" t="s">
        <v>106</v>
      </c>
      <c r="E108">
        <v>3</v>
      </c>
      <c r="J108" t="s">
        <v>106</v>
      </c>
      <c r="K108">
        <v>3</v>
      </c>
    </row>
    <row r="109" spans="2:11" x14ac:dyDescent="0.2">
      <c r="D109" t="s">
        <v>107</v>
      </c>
      <c r="E109">
        <v>2</v>
      </c>
      <c r="J109" t="s">
        <v>107</v>
      </c>
      <c r="K109">
        <v>2</v>
      </c>
    </row>
    <row r="110" spans="2:11" x14ac:dyDescent="0.2">
      <c r="D110" t="s">
        <v>120</v>
      </c>
      <c r="E110">
        <v>1</v>
      </c>
      <c r="J110" t="s">
        <v>120</v>
      </c>
      <c r="K110">
        <v>1</v>
      </c>
    </row>
    <row r="111" spans="2:11" x14ac:dyDescent="0.2">
      <c r="B111" t="s">
        <v>30</v>
      </c>
      <c r="C111" t="s">
        <v>88</v>
      </c>
      <c r="D111" t="s">
        <v>121</v>
      </c>
      <c r="E111">
        <v>2</v>
      </c>
      <c r="I111" t="s">
        <v>88</v>
      </c>
      <c r="J111" t="s">
        <v>121</v>
      </c>
      <c r="K111">
        <v>2</v>
      </c>
    </row>
    <row r="112" spans="2:11" x14ac:dyDescent="0.2">
      <c r="D112" t="s">
        <v>149</v>
      </c>
      <c r="E112">
        <v>1</v>
      </c>
      <c r="J112" t="s">
        <v>149</v>
      </c>
      <c r="K112">
        <v>1</v>
      </c>
    </row>
    <row r="113" spans="1:11" x14ac:dyDescent="0.2">
      <c r="C113" t="s">
        <v>100</v>
      </c>
      <c r="D113" t="s">
        <v>125</v>
      </c>
      <c r="E113">
        <v>3</v>
      </c>
      <c r="I113" t="s">
        <v>100</v>
      </c>
      <c r="J113" t="s">
        <v>125</v>
      </c>
      <c r="K113">
        <v>3</v>
      </c>
    </row>
    <row r="114" spans="1:11" x14ac:dyDescent="0.2">
      <c r="C114" t="s">
        <v>104</v>
      </c>
      <c r="D114" t="s">
        <v>106</v>
      </c>
      <c r="E114">
        <v>2</v>
      </c>
      <c r="I114" t="s">
        <v>104</v>
      </c>
      <c r="J114" t="s">
        <v>106</v>
      </c>
      <c r="K114">
        <v>2</v>
      </c>
    </row>
    <row r="115" spans="1:11" x14ac:dyDescent="0.2">
      <c r="D115" t="s">
        <v>107</v>
      </c>
      <c r="E115">
        <v>1</v>
      </c>
      <c r="J115" t="s">
        <v>107</v>
      </c>
      <c r="K115">
        <v>1</v>
      </c>
    </row>
    <row r="117" spans="1:11" x14ac:dyDescent="0.2">
      <c r="A117" t="s">
        <v>10</v>
      </c>
      <c r="B117" t="s">
        <v>36</v>
      </c>
      <c r="C117" t="s">
        <v>88</v>
      </c>
      <c r="D117" t="s">
        <v>95</v>
      </c>
      <c r="E117">
        <v>10</v>
      </c>
      <c r="I117" t="s">
        <v>88</v>
      </c>
      <c r="J117" t="s">
        <v>95</v>
      </c>
      <c r="K117">
        <v>10</v>
      </c>
    </row>
    <row r="118" spans="1:11" x14ac:dyDescent="0.2">
      <c r="D118" t="s">
        <v>150</v>
      </c>
      <c r="E118">
        <v>1</v>
      </c>
      <c r="J118" t="s">
        <v>150</v>
      </c>
      <c r="K118">
        <v>1</v>
      </c>
    </row>
    <row r="119" spans="1:11" x14ac:dyDescent="0.2">
      <c r="C119" t="s">
        <v>104</v>
      </c>
      <c r="D119" t="s">
        <v>120</v>
      </c>
      <c r="E119">
        <v>10</v>
      </c>
      <c r="I119" t="s">
        <v>104</v>
      </c>
      <c r="J119" t="s">
        <v>120</v>
      </c>
      <c r="K119">
        <v>10</v>
      </c>
    </row>
    <row r="120" spans="1:11" x14ac:dyDescent="0.2">
      <c r="D120" t="s">
        <v>105</v>
      </c>
      <c r="E120">
        <v>1</v>
      </c>
      <c r="J120" t="s">
        <v>105</v>
      </c>
      <c r="K120">
        <v>1</v>
      </c>
    </row>
    <row r="121" spans="1:11" x14ac:dyDescent="0.2">
      <c r="B121" t="s">
        <v>37</v>
      </c>
      <c r="C121" t="s">
        <v>88</v>
      </c>
      <c r="D121" t="s">
        <v>126</v>
      </c>
      <c r="E121">
        <v>9</v>
      </c>
      <c r="I121" t="s">
        <v>88</v>
      </c>
      <c r="J121" t="s">
        <v>126</v>
      </c>
      <c r="K121">
        <v>9</v>
      </c>
    </row>
    <row r="122" spans="1:11" x14ac:dyDescent="0.2">
      <c r="D122" t="s">
        <v>152</v>
      </c>
      <c r="E122">
        <v>1</v>
      </c>
      <c r="J122" t="s">
        <v>152</v>
      </c>
      <c r="K122">
        <v>1</v>
      </c>
    </row>
    <row r="123" spans="1:11" x14ac:dyDescent="0.2">
      <c r="D123" t="s">
        <v>153</v>
      </c>
      <c r="E123">
        <v>1</v>
      </c>
      <c r="J123" t="s">
        <v>153</v>
      </c>
      <c r="K123">
        <v>1</v>
      </c>
    </row>
    <row r="124" spans="1:11" x14ac:dyDescent="0.2">
      <c r="D124" t="s">
        <v>150</v>
      </c>
      <c r="E124">
        <v>1</v>
      </c>
      <c r="J124" t="s">
        <v>150</v>
      </c>
      <c r="K124">
        <v>1</v>
      </c>
    </row>
    <row r="125" spans="1:11" x14ac:dyDescent="0.2">
      <c r="D125" t="s">
        <v>151</v>
      </c>
      <c r="E125">
        <v>1</v>
      </c>
      <c r="J125" t="s">
        <v>151</v>
      </c>
      <c r="K125">
        <v>1</v>
      </c>
    </row>
    <row r="126" spans="1:11" x14ac:dyDescent="0.2">
      <c r="C126" t="s">
        <v>100</v>
      </c>
      <c r="D126" t="s">
        <v>125</v>
      </c>
      <c r="E126">
        <v>4</v>
      </c>
      <c r="I126" t="s">
        <v>100</v>
      </c>
      <c r="J126" t="s">
        <v>125</v>
      </c>
      <c r="K126">
        <v>4</v>
      </c>
    </row>
    <row r="127" spans="1:11" x14ac:dyDescent="0.2">
      <c r="C127" t="s">
        <v>104</v>
      </c>
      <c r="D127" t="s">
        <v>106</v>
      </c>
      <c r="E127">
        <v>21</v>
      </c>
      <c r="I127" t="s">
        <v>104</v>
      </c>
      <c r="J127" t="s">
        <v>106</v>
      </c>
      <c r="K127">
        <v>21</v>
      </c>
    </row>
    <row r="128" spans="1:11" x14ac:dyDescent="0.2">
      <c r="D128" t="s">
        <v>105</v>
      </c>
      <c r="E128">
        <v>5</v>
      </c>
      <c r="J128" t="s">
        <v>105</v>
      </c>
      <c r="K128">
        <v>5</v>
      </c>
    </row>
    <row r="129" spans="1:11" x14ac:dyDescent="0.2">
      <c r="D129" t="s">
        <v>120</v>
      </c>
      <c r="E129">
        <v>2</v>
      </c>
      <c r="J129" t="s">
        <v>120</v>
      </c>
      <c r="K129">
        <v>2</v>
      </c>
    </row>
    <row r="130" spans="1:11" x14ac:dyDescent="0.2">
      <c r="D130" t="s">
        <v>107</v>
      </c>
      <c r="E130">
        <v>1</v>
      </c>
      <c r="J130" t="s">
        <v>107</v>
      </c>
      <c r="K130">
        <v>1</v>
      </c>
    </row>
    <row r="131" spans="1:11" x14ac:dyDescent="0.2">
      <c r="B131" t="s">
        <v>38</v>
      </c>
      <c r="C131" t="s">
        <v>88</v>
      </c>
      <c r="D131" t="s">
        <v>109</v>
      </c>
      <c r="E131">
        <v>1</v>
      </c>
      <c r="I131" t="s">
        <v>88</v>
      </c>
      <c r="J131" t="s">
        <v>109</v>
      </c>
      <c r="K131">
        <v>1</v>
      </c>
    </row>
    <row r="132" spans="1:11" x14ac:dyDescent="0.2">
      <c r="D132" t="s">
        <v>150</v>
      </c>
      <c r="E132">
        <v>1</v>
      </c>
      <c r="J132" t="s">
        <v>150</v>
      </c>
      <c r="K132">
        <v>1</v>
      </c>
    </row>
    <row r="133" spans="1:11" x14ac:dyDescent="0.2">
      <c r="C133" t="s">
        <v>104</v>
      </c>
      <c r="D133" t="s">
        <v>105</v>
      </c>
      <c r="E133">
        <v>2</v>
      </c>
      <c r="I133" t="s">
        <v>104</v>
      </c>
      <c r="J133" t="s">
        <v>105</v>
      </c>
      <c r="K133">
        <v>2</v>
      </c>
    </row>
    <row r="134" spans="1:11" x14ac:dyDescent="0.2">
      <c r="B134" t="s">
        <v>39</v>
      </c>
      <c r="C134" t="s">
        <v>104</v>
      </c>
      <c r="D134" t="s">
        <v>120</v>
      </c>
      <c r="E134">
        <v>1</v>
      </c>
      <c r="I134" t="s">
        <v>104</v>
      </c>
      <c r="J134" t="s">
        <v>120</v>
      </c>
      <c r="K134">
        <v>1</v>
      </c>
    </row>
    <row r="135" spans="1:11" x14ac:dyDescent="0.2">
      <c r="D135" t="s">
        <v>105</v>
      </c>
      <c r="E135">
        <v>1</v>
      </c>
      <c r="J135" t="s">
        <v>105</v>
      </c>
      <c r="K135">
        <v>1</v>
      </c>
    </row>
    <row r="136" spans="1:11" x14ac:dyDescent="0.2">
      <c r="B136" t="s">
        <v>40</v>
      </c>
      <c r="C136" t="s">
        <v>88</v>
      </c>
      <c r="D136" t="s">
        <v>155</v>
      </c>
      <c r="E136">
        <v>1</v>
      </c>
      <c r="I136" t="s">
        <v>88</v>
      </c>
      <c r="J136" t="s">
        <v>155</v>
      </c>
      <c r="K136">
        <v>1</v>
      </c>
    </row>
    <row r="137" spans="1:11" x14ac:dyDescent="0.2">
      <c r="D137" t="s">
        <v>154</v>
      </c>
      <c r="E137">
        <v>1</v>
      </c>
      <c r="J137" t="s">
        <v>154</v>
      </c>
      <c r="K137">
        <v>1</v>
      </c>
    </row>
    <row r="138" spans="1:11" x14ac:dyDescent="0.2">
      <c r="C138" t="s">
        <v>104</v>
      </c>
      <c r="D138" t="s">
        <v>120</v>
      </c>
      <c r="E138">
        <v>1</v>
      </c>
      <c r="I138" t="s">
        <v>104</v>
      </c>
      <c r="J138" t="s">
        <v>120</v>
      </c>
      <c r="K138">
        <v>1</v>
      </c>
    </row>
    <row r="139" spans="1:11" x14ac:dyDescent="0.2">
      <c r="D139" t="s">
        <v>106</v>
      </c>
      <c r="E139">
        <v>1</v>
      </c>
      <c r="J139" t="s">
        <v>106</v>
      </c>
      <c r="K139">
        <v>1</v>
      </c>
    </row>
    <row r="141" spans="1:11" x14ac:dyDescent="0.2">
      <c r="A141" t="s">
        <v>11</v>
      </c>
      <c r="B141" t="s">
        <v>47</v>
      </c>
      <c r="C141" t="s">
        <v>88</v>
      </c>
      <c r="D141" t="s">
        <v>156</v>
      </c>
      <c r="E141">
        <v>2</v>
      </c>
      <c r="I141" t="s">
        <v>88</v>
      </c>
      <c r="J141" t="s">
        <v>156</v>
      </c>
      <c r="K141">
        <v>2</v>
      </c>
    </row>
    <row r="142" spans="1:11" x14ac:dyDescent="0.2">
      <c r="D142" t="s">
        <v>157</v>
      </c>
      <c r="E142">
        <v>1</v>
      </c>
      <c r="J142" t="s">
        <v>157</v>
      </c>
      <c r="K142">
        <v>1</v>
      </c>
    </row>
    <row r="143" spans="1:11" x14ac:dyDescent="0.2">
      <c r="D143" t="s">
        <v>158</v>
      </c>
      <c r="E143">
        <v>1</v>
      </c>
      <c r="J143" t="s">
        <v>158</v>
      </c>
      <c r="K143">
        <v>1</v>
      </c>
    </row>
    <row r="144" spans="1:11" x14ac:dyDescent="0.2">
      <c r="D144" t="s">
        <v>117</v>
      </c>
      <c r="E144">
        <v>1</v>
      </c>
      <c r="J144" t="s">
        <v>117</v>
      </c>
      <c r="K144">
        <v>1</v>
      </c>
    </row>
    <row r="145" spans="2:11" x14ac:dyDescent="0.2">
      <c r="C145" t="s">
        <v>104</v>
      </c>
      <c r="D145" t="s">
        <v>105</v>
      </c>
      <c r="E145">
        <v>3</v>
      </c>
      <c r="I145" t="s">
        <v>104</v>
      </c>
      <c r="J145" t="s">
        <v>105</v>
      </c>
      <c r="K145">
        <v>3</v>
      </c>
    </row>
    <row r="146" spans="2:11" x14ac:dyDescent="0.2">
      <c r="D146" t="s">
        <v>107</v>
      </c>
      <c r="E146">
        <v>2</v>
      </c>
      <c r="J146" t="s">
        <v>107</v>
      </c>
      <c r="K146">
        <v>2</v>
      </c>
    </row>
    <row r="147" spans="2:11" x14ac:dyDescent="0.2">
      <c r="B147" t="s">
        <v>48</v>
      </c>
      <c r="C147" t="s">
        <v>88</v>
      </c>
      <c r="D147" t="s">
        <v>140</v>
      </c>
      <c r="E147">
        <v>3</v>
      </c>
      <c r="I147" t="s">
        <v>88</v>
      </c>
      <c r="J147" t="s">
        <v>140</v>
      </c>
      <c r="K147">
        <v>3</v>
      </c>
    </row>
    <row r="148" spans="2:11" x14ac:dyDescent="0.2">
      <c r="D148" t="s">
        <v>113</v>
      </c>
      <c r="E148">
        <v>2</v>
      </c>
      <c r="J148" t="s">
        <v>113</v>
      </c>
      <c r="K148">
        <v>2</v>
      </c>
    </row>
    <row r="149" spans="2:11" x14ac:dyDescent="0.2">
      <c r="D149" t="s">
        <v>144</v>
      </c>
      <c r="E149">
        <v>1</v>
      </c>
      <c r="J149" t="s">
        <v>144</v>
      </c>
      <c r="K149">
        <v>1</v>
      </c>
    </row>
    <row r="150" spans="2:11" x14ac:dyDescent="0.2">
      <c r="D150" t="s">
        <v>159</v>
      </c>
      <c r="E150">
        <v>1</v>
      </c>
      <c r="J150" t="s">
        <v>159</v>
      </c>
      <c r="K150">
        <v>1</v>
      </c>
    </row>
    <row r="151" spans="2:11" x14ac:dyDescent="0.2">
      <c r="D151" t="s">
        <v>160</v>
      </c>
      <c r="E151">
        <v>1</v>
      </c>
      <c r="J151" t="s">
        <v>160</v>
      </c>
      <c r="K151">
        <v>1</v>
      </c>
    </row>
    <row r="152" spans="2:11" x14ac:dyDescent="0.2">
      <c r="D152" t="s">
        <v>161</v>
      </c>
      <c r="E152">
        <v>1</v>
      </c>
      <c r="J152" t="s">
        <v>161</v>
      </c>
      <c r="K152">
        <v>1</v>
      </c>
    </row>
    <row r="153" spans="2:11" x14ac:dyDescent="0.2">
      <c r="D153" t="s">
        <v>128</v>
      </c>
      <c r="E153">
        <v>1</v>
      </c>
      <c r="J153" t="s">
        <v>128</v>
      </c>
      <c r="K153">
        <v>1</v>
      </c>
    </row>
    <row r="154" spans="2:11" x14ac:dyDescent="0.2">
      <c r="D154" t="s">
        <v>150</v>
      </c>
      <c r="E154">
        <v>1</v>
      </c>
      <c r="J154" t="s">
        <v>150</v>
      </c>
      <c r="K154">
        <v>1</v>
      </c>
    </row>
    <row r="155" spans="2:11" x14ac:dyDescent="0.2">
      <c r="D155" t="s">
        <v>151</v>
      </c>
      <c r="E155">
        <v>1</v>
      </c>
      <c r="J155" t="s">
        <v>151</v>
      </c>
      <c r="K155">
        <v>1</v>
      </c>
    </row>
    <row r="156" spans="2:11" x14ac:dyDescent="0.2">
      <c r="D156" t="s">
        <v>117</v>
      </c>
      <c r="E156">
        <v>1</v>
      </c>
      <c r="J156" t="s">
        <v>117</v>
      </c>
      <c r="K156">
        <v>1</v>
      </c>
    </row>
    <row r="157" spans="2:11" x14ac:dyDescent="0.2">
      <c r="D157" t="s">
        <v>121</v>
      </c>
      <c r="E157">
        <v>1</v>
      </c>
      <c r="J157" t="s">
        <v>121</v>
      </c>
      <c r="K157">
        <v>1</v>
      </c>
    </row>
    <row r="158" spans="2:11" x14ac:dyDescent="0.2">
      <c r="C158" t="s">
        <v>100</v>
      </c>
      <c r="D158" t="s">
        <v>124</v>
      </c>
      <c r="E158">
        <v>1</v>
      </c>
      <c r="I158" t="s">
        <v>100</v>
      </c>
      <c r="J158" t="s">
        <v>124</v>
      </c>
      <c r="K158">
        <v>1</v>
      </c>
    </row>
    <row r="159" spans="2:11" x14ac:dyDescent="0.2">
      <c r="D159" t="s">
        <v>101</v>
      </c>
      <c r="E159">
        <v>1</v>
      </c>
      <c r="J159" t="s">
        <v>101</v>
      </c>
      <c r="K159">
        <v>1</v>
      </c>
    </row>
    <row r="160" spans="2:11" x14ac:dyDescent="0.2">
      <c r="D160" t="s">
        <v>103</v>
      </c>
      <c r="E160">
        <v>1</v>
      </c>
      <c r="J160" t="s">
        <v>103</v>
      </c>
      <c r="K160">
        <v>1</v>
      </c>
    </row>
    <row r="161" spans="2:11" x14ac:dyDescent="0.2">
      <c r="C161" t="s">
        <v>104</v>
      </c>
      <c r="D161" t="s">
        <v>105</v>
      </c>
      <c r="E161">
        <v>5</v>
      </c>
      <c r="I161" t="s">
        <v>104</v>
      </c>
      <c r="J161" t="s">
        <v>105</v>
      </c>
      <c r="K161">
        <v>5</v>
      </c>
    </row>
    <row r="162" spans="2:11" x14ac:dyDescent="0.2">
      <c r="D162" t="s">
        <v>120</v>
      </c>
      <c r="E162">
        <v>4</v>
      </c>
      <c r="J162" t="s">
        <v>120</v>
      </c>
      <c r="K162">
        <v>4</v>
      </c>
    </row>
    <row r="163" spans="2:11" x14ac:dyDescent="0.2">
      <c r="D163" t="s">
        <v>107</v>
      </c>
      <c r="E163">
        <v>3</v>
      </c>
      <c r="J163" t="s">
        <v>107</v>
      </c>
      <c r="K163">
        <v>3</v>
      </c>
    </row>
    <row r="164" spans="2:11" x14ac:dyDescent="0.2">
      <c r="D164" t="s">
        <v>106</v>
      </c>
      <c r="E164">
        <v>2</v>
      </c>
      <c r="J164" t="s">
        <v>106</v>
      </c>
      <c r="K164">
        <v>2</v>
      </c>
    </row>
    <row r="165" spans="2:11" x14ac:dyDescent="0.2">
      <c r="B165" t="s">
        <v>49</v>
      </c>
      <c r="C165" t="s">
        <v>88</v>
      </c>
      <c r="D165" t="s">
        <v>162</v>
      </c>
      <c r="E165">
        <v>5</v>
      </c>
      <c r="I165" t="s">
        <v>88</v>
      </c>
      <c r="J165" t="s">
        <v>162</v>
      </c>
      <c r="K165">
        <v>5</v>
      </c>
    </row>
    <row r="166" spans="2:11" x14ac:dyDescent="0.2">
      <c r="D166" t="s">
        <v>92</v>
      </c>
      <c r="E166">
        <v>2</v>
      </c>
      <c r="J166" t="s">
        <v>92</v>
      </c>
      <c r="K166">
        <v>2</v>
      </c>
    </row>
    <row r="167" spans="2:11" x14ac:dyDescent="0.2">
      <c r="D167" t="s">
        <v>163</v>
      </c>
      <c r="E167">
        <v>2</v>
      </c>
      <c r="J167" t="s">
        <v>163</v>
      </c>
      <c r="K167">
        <v>2</v>
      </c>
    </row>
    <row r="168" spans="2:11" x14ac:dyDescent="0.2">
      <c r="D168" t="s">
        <v>109</v>
      </c>
      <c r="E168">
        <v>1</v>
      </c>
      <c r="J168" t="s">
        <v>109</v>
      </c>
      <c r="K168">
        <v>1</v>
      </c>
    </row>
    <row r="169" spans="2:11" x14ac:dyDescent="0.2">
      <c r="D169" t="s">
        <v>164</v>
      </c>
      <c r="E169">
        <v>1</v>
      </c>
      <c r="J169" t="s">
        <v>164</v>
      </c>
      <c r="K169">
        <v>1</v>
      </c>
    </row>
    <row r="170" spans="2:11" x14ac:dyDescent="0.2">
      <c r="D170" t="s">
        <v>128</v>
      </c>
      <c r="E170">
        <v>1</v>
      </c>
      <c r="J170" t="s">
        <v>128</v>
      </c>
      <c r="K170">
        <v>1</v>
      </c>
    </row>
    <row r="171" spans="2:11" x14ac:dyDescent="0.2">
      <c r="D171" t="s">
        <v>129</v>
      </c>
      <c r="E171">
        <v>1</v>
      </c>
      <c r="J171" t="s">
        <v>129</v>
      </c>
      <c r="K171">
        <v>1</v>
      </c>
    </row>
    <row r="172" spans="2:11" x14ac:dyDescent="0.2">
      <c r="D172" t="s">
        <v>150</v>
      </c>
      <c r="E172">
        <v>1</v>
      </c>
      <c r="J172" t="s">
        <v>150</v>
      </c>
      <c r="K172">
        <v>1</v>
      </c>
    </row>
    <row r="173" spans="2:11" x14ac:dyDescent="0.2">
      <c r="D173" t="s">
        <v>136</v>
      </c>
      <c r="E173">
        <v>1</v>
      </c>
      <c r="J173" t="s">
        <v>136</v>
      </c>
      <c r="K173">
        <v>1</v>
      </c>
    </row>
    <row r="174" spans="2:11" x14ac:dyDescent="0.2">
      <c r="D174" t="s">
        <v>165</v>
      </c>
      <c r="E174">
        <v>1</v>
      </c>
      <c r="J174" t="s">
        <v>165</v>
      </c>
      <c r="K174">
        <v>1</v>
      </c>
    </row>
    <row r="175" spans="2:11" x14ac:dyDescent="0.2">
      <c r="D175" t="s">
        <v>117</v>
      </c>
      <c r="E175">
        <v>1</v>
      </c>
      <c r="J175" t="s">
        <v>117</v>
      </c>
      <c r="K175">
        <v>1</v>
      </c>
    </row>
    <row r="176" spans="2:11" x14ac:dyDescent="0.2">
      <c r="D176" t="s">
        <v>118</v>
      </c>
      <c r="E176">
        <v>1</v>
      </c>
      <c r="J176" t="s">
        <v>118</v>
      </c>
      <c r="K176">
        <v>1</v>
      </c>
    </row>
    <row r="177" spans="1:11" x14ac:dyDescent="0.2">
      <c r="C177" t="s">
        <v>100</v>
      </c>
      <c r="D177" t="s">
        <v>124</v>
      </c>
      <c r="E177">
        <v>2</v>
      </c>
      <c r="I177" t="s">
        <v>100</v>
      </c>
      <c r="J177" t="s">
        <v>124</v>
      </c>
      <c r="K177">
        <v>2</v>
      </c>
    </row>
    <row r="178" spans="1:11" x14ac:dyDescent="0.2">
      <c r="D178" t="s">
        <v>147</v>
      </c>
      <c r="E178">
        <v>2</v>
      </c>
      <c r="J178" t="s">
        <v>147</v>
      </c>
      <c r="K178">
        <v>2</v>
      </c>
    </row>
    <row r="179" spans="1:11" x14ac:dyDescent="0.2">
      <c r="D179" t="s">
        <v>139</v>
      </c>
      <c r="E179">
        <v>1</v>
      </c>
      <c r="J179" t="s">
        <v>139</v>
      </c>
      <c r="K179">
        <v>1</v>
      </c>
    </row>
    <row r="180" spans="1:11" x14ac:dyDescent="0.2">
      <c r="D180" t="s">
        <v>103</v>
      </c>
      <c r="E180">
        <v>1</v>
      </c>
      <c r="J180" t="s">
        <v>103</v>
      </c>
      <c r="K180">
        <v>1</v>
      </c>
    </row>
    <row r="181" spans="1:11" x14ac:dyDescent="0.2">
      <c r="D181" t="s">
        <v>125</v>
      </c>
      <c r="E181">
        <v>1</v>
      </c>
      <c r="J181" t="s">
        <v>125</v>
      </c>
      <c r="K181">
        <v>1</v>
      </c>
    </row>
    <row r="182" spans="1:11" x14ac:dyDescent="0.2">
      <c r="C182" t="s">
        <v>104</v>
      </c>
      <c r="D182" t="s">
        <v>105</v>
      </c>
      <c r="E182">
        <v>9</v>
      </c>
      <c r="I182" t="s">
        <v>104</v>
      </c>
      <c r="J182" t="s">
        <v>105</v>
      </c>
      <c r="K182">
        <v>9</v>
      </c>
    </row>
    <row r="183" spans="1:11" x14ac:dyDescent="0.2">
      <c r="D183" t="s">
        <v>107</v>
      </c>
      <c r="E183">
        <v>7</v>
      </c>
      <c r="J183" t="s">
        <v>107</v>
      </c>
      <c r="K183">
        <v>7</v>
      </c>
    </row>
    <row r="184" spans="1:11" x14ac:dyDescent="0.2">
      <c r="D184" t="s">
        <v>106</v>
      </c>
      <c r="E184">
        <v>1</v>
      </c>
      <c r="J184" t="s">
        <v>106</v>
      </c>
      <c r="K184">
        <v>1</v>
      </c>
    </row>
    <row r="185" spans="1:11" x14ac:dyDescent="0.2">
      <c r="D185" t="s">
        <v>120</v>
      </c>
      <c r="E185">
        <v>1</v>
      </c>
      <c r="J185" t="s">
        <v>120</v>
      </c>
      <c r="K185">
        <v>1</v>
      </c>
    </row>
    <row r="187" spans="1:11" x14ac:dyDescent="0.2">
      <c r="A187" t="s">
        <v>12</v>
      </c>
      <c r="B187" t="s">
        <v>54</v>
      </c>
      <c r="C187" t="s">
        <v>88</v>
      </c>
      <c r="D187" t="s">
        <v>150</v>
      </c>
      <c r="E187">
        <v>10</v>
      </c>
      <c r="I187" t="s">
        <v>88</v>
      </c>
      <c r="J187" t="s">
        <v>150</v>
      </c>
      <c r="K187">
        <v>10</v>
      </c>
    </row>
    <row r="188" spans="1:11" x14ac:dyDescent="0.2">
      <c r="D188" t="s">
        <v>166</v>
      </c>
      <c r="E188">
        <v>2</v>
      </c>
      <c r="J188" t="s">
        <v>166</v>
      </c>
      <c r="K188">
        <v>2</v>
      </c>
    </row>
    <row r="189" spans="1:11" x14ac:dyDescent="0.2">
      <c r="D189" t="s">
        <v>109</v>
      </c>
      <c r="E189">
        <v>1</v>
      </c>
      <c r="J189" t="s">
        <v>109</v>
      </c>
      <c r="K189">
        <v>1</v>
      </c>
    </row>
    <row r="190" spans="1:11" x14ac:dyDescent="0.2">
      <c r="D190" t="s">
        <v>108</v>
      </c>
      <c r="E190">
        <v>1</v>
      </c>
      <c r="J190" t="s">
        <v>108</v>
      </c>
      <c r="K190">
        <v>1</v>
      </c>
    </row>
    <row r="191" spans="1:11" x14ac:dyDescent="0.2">
      <c r="D191" t="s">
        <v>117</v>
      </c>
      <c r="E191">
        <v>1</v>
      </c>
      <c r="J191" t="s">
        <v>117</v>
      </c>
      <c r="K191">
        <v>1</v>
      </c>
    </row>
    <row r="192" spans="1:11" x14ac:dyDescent="0.2">
      <c r="C192" t="s">
        <v>100</v>
      </c>
      <c r="D192" t="s">
        <v>102</v>
      </c>
      <c r="E192">
        <v>1</v>
      </c>
      <c r="I192" t="s">
        <v>100</v>
      </c>
      <c r="J192" t="s">
        <v>102</v>
      </c>
      <c r="K192">
        <v>1</v>
      </c>
    </row>
    <row r="193" spans="1:11" x14ac:dyDescent="0.2">
      <c r="C193" t="s">
        <v>104</v>
      </c>
      <c r="D193" t="s">
        <v>105</v>
      </c>
      <c r="E193">
        <v>5</v>
      </c>
      <c r="I193" t="s">
        <v>104</v>
      </c>
      <c r="J193" t="s">
        <v>105</v>
      </c>
      <c r="K193">
        <v>5</v>
      </c>
    </row>
    <row r="194" spans="1:11" x14ac:dyDescent="0.2">
      <c r="D194" t="s">
        <v>120</v>
      </c>
      <c r="E194">
        <v>5</v>
      </c>
      <c r="J194" t="s">
        <v>120</v>
      </c>
      <c r="K194">
        <v>5</v>
      </c>
    </row>
    <row r="195" spans="1:11" x14ac:dyDescent="0.2">
      <c r="D195" t="s">
        <v>106</v>
      </c>
      <c r="E195">
        <v>3</v>
      </c>
      <c r="J195" t="s">
        <v>106</v>
      </c>
      <c r="K195">
        <v>3</v>
      </c>
    </row>
    <row r="196" spans="1:11" x14ac:dyDescent="0.2">
      <c r="D196" t="s">
        <v>107</v>
      </c>
      <c r="E196">
        <v>2</v>
      </c>
      <c r="J196" t="s">
        <v>107</v>
      </c>
      <c r="K196">
        <v>2</v>
      </c>
    </row>
    <row r="197" spans="1:11" x14ac:dyDescent="0.2">
      <c r="B197" t="s">
        <v>55</v>
      </c>
      <c r="C197" t="s">
        <v>88</v>
      </c>
      <c r="D197" t="s">
        <v>150</v>
      </c>
      <c r="E197">
        <v>8</v>
      </c>
      <c r="I197" t="s">
        <v>88</v>
      </c>
      <c r="J197" t="s">
        <v>150</v>
      </c>
      <c r="K197">
        <v>8</v>
      </c>
    </row>
    <row r="198" spans="1:11" x14ac:dyDescent="0.2">
      <c r="D198" t="s">
        <v>167</v>
      </c>
      <c r="E198">
        <v>1</v>
      </c>
      <c r="J198" t="s">
        <v>167</v>
      </c>
      <c r="K198">
        <v>1</v>
      </c>
    </row>
    <row r="199" spans="1:11" x14ac:dyDescent="0.2">
      <c r="D199" t="s">
        <v>168</v>
      </c>
      <c r="E199">
        <v>1</v>
      </c>
      <c r="J199" t="s">
        <v>168</v>
      </c>
      <c r="K199">
        <v>1</v>
      </c>
    </row>
    <row r="200" spans="1:11" x14ac:dyDescent="0.2">
      <c r="C200" t="s">
        <v>100</v>
      </c>
      <c r="D200" t="s">
        <v>125</v>
      </c>
      <c r="E200">
        <v>3</v>
      </c>
      <c r="I200" t="s">
        <v>100</v>
      </c>
      <c r="J200" t="s">
        <v>125</v>
      </c>
      <c r="K200">
        <v>3</v>
      </c>
    </row>
    <row r="201" spans="1:11" x14ac:dyDescent="0.2">
      <c r="C201" t="s">
        <v>104</v>
      </c>
      <c r="D201" t="s">
        <v>106</v>
      </c>
      <c r="E201">
        <v>3</v>
      </c>
      <c r="I201" t="s">
        <v>104</v>
      </c>
      <c r="J201" t="s">
        <v>106</v>
      </c>
      <c r="K201">
        <v>3</v>
      </c>
    </row>
    <row r="202" spans="1:11" x14ac:dyDescent="0.2">
      <c r="D202" t="s">
        <v>107</v>
      </c>
      <c r="E202">
        <v>3</v>
      </c>
      <c r="J202" t="s">
        <v>107</v>
      </c>
      <c r="K202">
        <v>3</v>
      </c>
    </row>
    <row r="203" spans="1:11" x14ac:dyDescent="0.2">
      <c r="D203" t="s">
        <v>105</v>
      </c>
      <c r="E203">
        <v>3</v>
      </c>
      <c r="J203" t="s">
        <v>105</v>
      </c>
      <c r="K203">
        <v>3</v>
      </c>
    </row>
    <row r="204" spans="1:11" x14ac:dyDescent="0.2">
      <c r="D204" t="s">
        <v>120</v>
      </c>
      <c r="E204">
        <v>1</v>
      </c>
      <c r="J204" t="s">
        <v>120</v>
      </c>
      <c r="K204">
        <v>1</v>
      </c>
    </row>
    <row r="206" spans="1:11" x14ac:dyDescent="0.2">
      <c r="A206" t="s">
        <v>13</v>
      </c>
      <c r="B206" t="s">
        <v>56</v>
      </c>
      <c r="C206" t="s">
        <v>88</v>
      </c>
      <c r="D206" t="s">
        <v>150</v>
      </c>
      <c r="E206">
        <v>1</v>
      </c>
      <c r="I206" t="s">
        <v>88</v>
      </c>
      <c r="J206" t="s">
        <v>150</v>
      </c>
      <c r="K206">
        <v>1</v>
      </c>
    </row>
    <row r="207" spans="1:11" x14ac:dyDescent="0.2">
      <c r="C207" t="s">
        <v>100</v>
      </c>
      <c r="D207" t="s">
        <v>125</v>
      </c>
      <c r="E207">
        <v>1</v>
      </c>
      <c r="I207" t="s">
        <v>100</v>
      </c>
      <c r="J207" t="s">
        <v>125</v>
      </c>
      <c r="K207">
        <v>1</v>
      </c>
    </row>
    <row r="208" spans="1:11" x14ac:dyDescent="0.2">
      <c r="C208" t="s">
        <v>104</v>
      </c>
      <c r="D208" t="s">
        <v>105</v>
      </c>
      <c r="E208">
        <v>1</v>
      </c>
      <c r="I208" t="s">
        <v>104</v>
      </c>
      <c r="J208" t="s">
        <v>105</v>
      </c>
      <c r="K208">
        <v>1</v>
      </c>
    </row>
    <row r="209" spans="2:11" x14ac:dyDescent="0.2">
      <c r="B209" t="s">
        <v>57</v>
      </c>
      <c r="C209" t="s">
        <v>88</v>
      </c>
      <c r="D209" t="s">
        <v>150</v>
      </c>
      <c r="E209">
        <v>1</v>
      </c>
      <c r="I209" t="s">
        <v>88</v>
      </c>
      <c r="J209" t="s">
        <v>150</v>
      </c>
      <c r="K209">
        <v>1</v>
      </c>
    </row>
    <row r="210" spans="2:11" x14ac:dyDescent="0.2">
      <c r="C210" t="s">
        <v>100</v>
      </c>
      <c r="D210" t="s">
        <v>125</v>
      </c>
      <c r="E210">
        <v>1</v>
      </c>
      <c r="I210" t="s">
        <v>100</v>
      </c>
      <c r="J210" t="s">
        <v>125</v>
      </c>
      <c r="K210">
        <v>1</v>
      </c>
    </row>
    <row r="211" spans="2:11" x14ac:dyDescent="0.2">
      <c r="C211" t="s">
        <v>104</v>
      </c>
      <c r="D211" t="s">
        <v>105</v>
      </c>
      <c r="E211">
        <v>1</v>
      </c>
      <c r="I211" t="s">
        <v>104</v>
      </c>
      <c r="J211" t="s">
        <v>105</v>
      </c>
      <c r="K211">
        <v>1</v>
      </c>
    </row>
    <row r="212" spans="2:11" x14ac:dyDescent="0.2">
      <c r="B212" t="s">
        <v>58</v>
      </c>
      <c r="C212" t="s">
        <v>88</v>
      </c>
      <c r="D212" t="s">
        <v>150</v>
      </c>
      <c r="E212">
        <v>1</v>
      </c>
      <c r="I212" t="s">
        <v>88</v>
      </c>
      <c r="J212" t="s">
        <v>150</v>
      </c>
      <c r="K212">
        <v>1</v>
      </c>
    </row>
    <row r="213" spans="2:11" x14ac:dyDescent="0.2">
      <c r="C213" t="s">
        <v>100</v>
      </c>
      <c r="D213" t="s">
        <v>125</v>
      </c>
      <c r="E213">
        <v>1</v>
      </c>
      <c r="I213" t="s">
        <v>100</v>
      </c>
      <c r="J213" t="s">
        <v>125</v>
      </c>
      <c r="K213">
        <v>1</v>
      </c>
    </row>
    <row r="214" spans="2:11" x14ac:dyDescent="0.2">
      <c r="C214" t="s">
        <v>104</v>
      </c>
      <c r="D214" t="s">
        <v>105</v>
      </c>
      <c r="E214">
        <v>1</v>
      </c>
      <c r="I214" t="s">
        <v>104</v>
      </c>
      <c r="J214" t="s">
        <v>105</v>
      </c>
      <c r="K214">
        <v>1</v>
      </c>
    </row>
    <row r="215" spans="2:11" x14ac:dyDescent="0.2">
      <c r="B215" t="s">
        <v>59</v>
      </c>
      <c r="C215" t="s">
        <v>88</v>
      </c>
      <c r="D215" t="s">
        <v>150</v>
      </c>
      <c r="E215">
        <v>1</v>
      </c>
      <c r="I215" t="s">
        <v>88</v>
      </c>
      <c r="J215" t="s">
        <v>150</v>
      </c>
      <c r="K215">
        <v>1</v>
      </c>
    </row>
    <row r="216" spans="2:11" x14ac:dyDescent="0.2">
      <c r="C216" t="s">
        <v>100</v>
      </c>
      <c r="D216" t="s">
        <v>125</v>
      </c>
      <c r="E216">
        <v>1</v>
      </c>
      <c r="I216" t="s">
        <v>100</v>
      </c>
      <c r="J216" t="s">
        <v>125</v>
      </c>
      <c r="K216">
        <v>1</v>
      </c>
    </row>
    <row r="217" spans="2:11" x14ac:dyDescent="0.2">
      <c r="C217" t="s">
        <v>104</v>
      </c>
      <c r="D217" t="s">
        <v>105</v>
      </c>
      <c r="E217">
        <v>1</v>
      </c>
      <c r="I217" t="s">
        <v>104</v>
      </c>
      <c r="J217" t="s">
        <v>105</v>
      </c>
      <c r="K217">
        <v>1</v>
      </c>
    </row>
    <row r="218" spans="2:11" x14ac:dyDescent="0.2">
      <c r="B218" t="s">
        <v>60</v>
      </c>
      <c r="C218" t="s">
        <v>88</v>
      </c>
      <c r="D218" t="s">
        <v>150</v>
      </c>
      <c r="E218">
        <v>1</v>
      </c>
      <c r="I218" t="s">
        <v>88</v>
      </c>
      <c r="J218" t="s">
        <v>150</v>
      </c>
      <c r="K218">
        <v>1</v>
      </c>
    </row>
    <row r="219" spans="2:11" x14ac:dyDescent="0.2">
      <c r="C219" t="s">
        <v>100</v>
      </c>
      <c r="D219" t="s">
        <v>125</v>
      </c>
      <c r="E219">
        <v>1</v>
      </c>
      <c r="I219" t="s">
        <v>100</v>
      </c>
      <c r="J219" t="s">
        <v>125</v>
      </c>
      <c r="K219">
        <v>1</v>
      </c>
    </row>
    <row r="220" spans="2:11" x14ac:dyDescent="0.2">
      <c r="C220" t="s">
        <v>104</v>
      </c>
      <c r="D220" t="s">
        <v>105</v>
      </c>
      <c r="E220">
        <v>1</v>
      </c>
      <c r="I220" t="s">
        <v>104</v>
      </c>
      <c r="J220" t="s">
        <v>105</v>
      </c>
      <c r="K220">
        <v>1</v>
      </c>
    </row>
    <row r="221" spans="2:11" x14ac:dyDescent="0.2">
      <c r="B221" t="s">
        <v>61</v>
      </c>
      <c r="C221" t="s">
        <v>88</v>
      </c>
      <c r="D221" t="s">
        <v>150</v>
      </c>
      <c r="E221">
        <v>1</v>
      </c>
      <c r="I221" t="s">
        <v>88</v>
      </c>
      <c r="J221" t="s">
        <v>150</v>
      </c>
      <c r="K221">
        <v>1</v>
      </c>
    </row>
    <row r="222" spans="2:11" x14ac:dyDescent="0.2">
      <c r="C222" t="s">
        <v>100</v>
      </c>
      <c r="D222" t="s">
        <v>125</v>
      </c>
      <c r="E222">
        <v>1</v>
      </c>
      <c r="I222" t="s">
        <v>100</v>
      </c>
      <c r="J222" t="s">
        <v>125</v>
      </c>
      <c r="K222">
        <v>1</v>
      </c>
    </row>
    <row r="223" spans="2:11" x14ac:dyDescent="0.2">
      <c r="C223" t="s">
        <v>104</v>
      </c>
      <c r="D223" t="s">
        <v>105</v>
      </c>
      <c r="E223">
        <v>1</v>
      </c>
      <c r="I223" t="s">
        <v>104</v>
      </c>
      <c r="J223" t="s">
        <v>105</v>
      </c>
      <c r="K223">
        <v>1</v>
      </c>
    </row>
    <row r="224" spans="2:11" x14ac:dyDescent="0.2">
      <c r="I224" t="s">
        <v>88</v>
      </c>
      <c r="J224" t="s">
        <v>170</v>
      </c>
      <c r="K224">
        <v>16</v>
      </c>
    </row>
    <row r="225" spans="1:11" x14ac:dyDescent="0.2">
      <c r="A225" t="s">
        <v>14</v>
      </c>
      <c r="B225" t="s">
        <v>64</v>
      </c>
      <c r="C225" t="s">
        <v>88</v>
      </c>
      <c r="D225" t="s">
        <v>140</v>
      </c>
      <c r="E225">
        <v>2</v>
      </c>
      <c r="J225" t="s">
        <v>151</v>
      </c>
      <c r="K225">
        <v>13</v>
      </c>
    </row>
    <row r="226" spans="1:11" x14ac:dyDescent="0.2">
      <c r="C226" t="s">
        <v>104</v>
      </c>
      <c r="D226" t="s">
        <v>106</v>
      </c>
      <c r="E226">
        <v>2</v>
      </c>
      <c r="J226" t="s">
        <v>150</v>
      </c>
      <c r="K226">
        <v>9</v>
      </c>
    </row>
    <row r="227" spans="1:11" x14ac:dyDescent="0.2">
      <c r="B227" t="s">
        <v>65</v>
      </c>
      <c r="C227" t="s">
        <v>88</v>
      </c>
      <c r="D227" t="s">
        <v>169</v>
      </c>
      <c r="E227">
        <v>1</v>
      </c>
      <c r="J227" t="s">
        <v>121</v>
      </c>
      <c r="K227">
        <v>5</v>
      </c>
    </row>
    <row r="228" spans="1:11" x14ac:dyDescent="0.2">
      <c r="D228" t="s">
        <v>165</v>
      </c>
      <c r="E228">
        <v>1</v>
      </c>
      <c r="J228" t="s">
        <v>171</v>
      </c>
      <c r="K228">
        <v>2</v>
      </c>
    </row>
    <row r="229" spans="1:11" x14ac:dyDescent="0.2">
      <c r="C229" t="s">
        <v>100</v>
      </c>
      <c r="D229" t="s">
        <v>103</v>
      </c>
      <c r="E229">
        <v>1</v>
      </c>
      <c r="J229" t="s">
        <v>172</v>
      </c>
      <c r="K229">
        <v>2</v>
      </c>
    </row>
    <row r="230" spans="1:11" x14ac:dyDescent="0.2">
      <c r="C230" t="s">
        <v>104</v>
      </c>
      <c r="D230" t="s">
        <v>105</v>
      </c>
      <c r="E230">
        <v>2</v>
      </c>
      <c r="J230" t="s">
        <v>162</v>
      </c>
      <c r="K230">
        <v>2</v>
      </c>
    </row>
    <row r="231" spans="1:11" x14ac:dyDescent="0.2">
      <c r="J231" t="s">
        <v>118</v>
      </c>
      <c r="K231">
        <v>1</v>
      </c>
    </row>
    <row r="232" spans="1:11" x14ac:dyDescent="0.2">
      <c r="A232" t="s">
        <v>15</v>
      </c>
      <c r="B232" t="s">
        <v>68</v>
      </c>
      <c r="C232" t="s">
        <v>88</v>
      </c>
      <c r="D232" t="s">
        <v>170</v>
      </c>
      <c r="E232">
        <v>16</v>
      </c>
      <c r="J232" t="s">
        <v>173</v>
      </c>
      <c r="K232">
        <v>1</v>
      </c>
    </row>
    <row r="233" spans="1:11" x14ac:dyDescent="0.2">
      <c r="D233" t="s">
        <v>151</v>
      </c>
      <c r="E233">
        <v>13</v>
      </c>
      <c r="J233" t="s">
        <v>93</v>
      </c>
      <c r="K233">
        <v>1</v>
      </c>
    </row>
    <row r="234" spans="1:11" x14ac:dyDescent="0.2">
      <c r="D234" t="s">
        <v>150</v>
      </c>
      <c r="E234">
        <v>9</v>
      </c>
      <c r="J234" t="s">
        <v>117</v>
      </c>
      <c r="K234">
        <v>1</v>
      </c>
    </row>
    <row r="235" spans="1:11" x14ac:dyDescent="0.2">
      <c r="D235" t="s">
        <v>121</v>
      </c>
      <c r="E235">
        <v>5</v>
      </c>
      <c r="J235" t="s">
        <v>174</v>
      </c>
      <c r="K235">
        <v>1</v>
      </c>
    </row>
    <row r="236" spans="1:11" x14ac:dyDescent="0.2">
      <c r="D236" t="s">
        <v>171</v>
      </c>
      <c r="E236">
        <v>2</v>
      </c>
      <c r="I236" t="s">
        <v>100</v>
      </c>
      <c r="J236" t="s">
        <v>125</v>
      </c>
      <c r="K236">
        <v>7</v>
      </c>
    </row>
    <row r="237" spans="1:11" x14ac:dyDescent="0.2">
      <c r="D237" t="s">
        <v>172</v>
      </c>
      <c r="E237">
        <v>2</v>
      </c>
      <c r="I237" t="s">
        <v>104</v>
      </c>
      <c r="J237" t="s">
        <v>107</v>
      </c>
      <c r="K237">
        <v>23</v>
      </c>
    </row>
    <row r="238" spans="1:11" x14ac:dyDescent="0.2">
      <c r="D238" t="s">
        <v>162</v>
      </c>
      <c r="E238">
        <v>2</v>
      </c>
      <c r="J238" t="s">
        <v>106</v>
      </c>
      <c r="K238">
        <v>18</v>
      </c>
    </row>
    <row r="239" spans="1:11" x14ac:dyDescent="0.2">
      <c r="D239" t="s">
        <v>118</v>
      </c>
      <c r="E239">
        <v>1</v>
      </c>
      <c r="J239" t="s">
        <v>105</v>
      </c>
      <c r="K239">
        <v>13</v>
      </c>
    </row>
    <row r="240" spans="1:11" x14ac:dyDescent="0.2">
      <c r="D240" t="s">
        <v>173</v>
      </c>
      <c r="E240">
        <v>1</v>
      </c>
      <c r="I240" t="s">
        <v>88</v>
      </c>
      <c r="J240" t="s">
        <v>175</v>
      </c>
      <c r="K240">
        <v>1</v>
      </c>
    </row>
    <row r="241" spans="2:11" x14ac:dyDescent="0.2">
      <c r="D241" t="s">
        <v>93</v>
      </c>
      <c r="E241">
        <v>1</v>
      </c>
      <c r="J241" t="s">
        <v>108</v>
      </c>
      <c r="K241">
        <v>1</v>
      </c>
    </row>
    <row r="242" spans="2:11" x14ac:dyDescent="0.2">
      <c r="D242" t="s">
        <v>117</v>
      </c>
      <c r="E242">
        <v>1</v>
      </c>
      <c r="J242" t="s">
        <v>92</v>
      </c>
      <c r="K242">
        <v>1</v>
      </c>
    </row>
    <row r="243" spans="2:11" x14ac:dyDescent="0.2">
      <c r="D243" t="s">
        <v>174</v>
      </c>
      <c r="E243">
        <v>1</v>
      </c>
      <c r="J243" t="s">
        <v>164</v>
      </c>
      <c r="K243">
        <v>1</v>
      </c>
    </row>
    <row r="244" spans="2:11" x14ac:dyDescent="0.2">
      <c r="C244" t="s">
        <v>100</v>
      </c>
      <c r="D244" t="s">
        <v>125</v>
      </c>
      <c r="E244">
        <v>7</v>
      </c>
      <c r="J244" t="s">
        <v>160</v>
      </c>
      <c r="K244">
        <v>1</v>
      </c>
    </row>
    <row r="245" spans="2:11" x14ac:dyDescent="0.2">
      <c r="C245" t="s">
        <v>104</v>
      </c>
      <c r="D245" t="s">
        <v>107</v>
      </c>
      <c r="E245">
        <v>23</v>
      </c>
      <c r="J245" t="s">
        <v>152</v>
      </c>
      <c r="K245">
        <v>1</v>
      </c>
    </row>
    <row r="246" spans="2:11" x14ac:dyDescent="0.2">
      <c r="D246" t="s">
        <v>106</v>
      </c>
      <c r="E246">
        <v>18</v>
      </c>
      <c r="J246" t="s">
        <v>155</v>
      </c>
      <c r="K246">
        <v>1</v>
      </c>
    </row>
    <row r="247" spans="2:11" x14ac:dyDescent="0.2">
      <c r="D247" t="s">
        <v>105</v>
      </c>
      <c r="E247">
        <v>13</v>
      </c>
      <c r="J247" t="s">
        <v>176</v>
      </c>
      <c r="K247">
        <v>3</v>
      </c>
    </row>
    <row r="248" spans="2:11" x14ac:dyDescent="0.2">
      <c r="B248" t="s">
        <v>69</v>
      </c>
      <c r="C248" t="s">
        <v>88</v>
      </c>
      <c r="D248" t="s">
        <v>175</v>
      </c>
      <c r="E248">
        <v>1</v>
      </c>
      <c r="J248" t="s">
        <v>161</v>
      </c>
      <c r="K248">
        <v>1</v>
      </c>
    </row>
    <row r="249" spans="2:11" x14ac:dyDescent="0.2">
      <c r="D249" t="s">
        <v>108</v>
      </c>
      <c r="E249">
        <v>1</v>
      </c>
      <c r="J249" t="s">
        <v>177</v>
      </c>
      <c r="K249">
        <v>3</v>
      </c>
    </row>
    <row r="250" spans="2:11" x14ac:dyDescent="0.2">
      <c r="D250" t="s">
        <v>92</v>
      </c>
      <c r="E250">
        <v>1</v>
      </c>
      <c r="J250" t="s">
        <v>140</v>
      </c>
      <c r="K250">
        <v>1</v>
      </c>
    </row>
    <row r="251" spans="2:11" x14ac:dyDescent="0.2">
      <c r="D251" t="s">
        <v>164</v>
      </c>
      <c r="E251">
        <v>1</v>
      </c>
      <c r="J251" t="s">
        <v>154</v>
      </c>
      <c r="K251">
        <v>1</v>
      </c>
    </row>
    <row r="252" spans="2:11" x14ac:dyDescent="0.2">
      <c r="D252" t="s">
        <v>160</v>
      </c>
      <c r="E252">
        <v>1</v>
      </c>
      <c r="J252" t="s">
        <v>129</v>
      </c>
      <c r="K252">
        <v>2</v>
      </c>
    </row>
    <row r="253" spans="2:11" x14ac:dyDescent="0.2">
      <c r="D253" t="s">
        <v>152</v>
      </c>
      <c r="E253">
        <v>1</v>
      </c>
      <c r="J253" t="s">
        <v>172</v>
      </c>
      <c r="K253">
        <v>3</v>
      </c>
    </row>
    <row r="254" spans="2:11" x14ac:dyDescent="0.2">
      <c r="D254" t="s">
        <v>155</v>
      </c>
      <c r="E254">
        <v>1</v>
      </c>
      <c r="J254" t="s">
        <v>178</v>
      </c>
      <c r="K254">
        <v>1</v>
      </c>
    </row>
    <row r="255" spans="2:11" x14ac:dyDescent="0.2">
      <c r="D255" t="s">
        <v>176</v>
      </c>
      <c r="E255">
        <v>3</v>
      </c>
      <c r="J255" t="s">
        <v>174</v>
      </c>
      <c r="K255">
        <v>1</v>
      </c>
    </row>
    <row r="256" spans="2:11" x14ac:dyDescent="0.2">
      <c r="D256" t="s">
        <v>161</v>
      </c>
      <c r="E256">
        <v>1</v>
      </c>
      <c r="J256" t="s">
        <v>168</v>
      </c>
      <c r="K256">
        <v>6</v>
      </c>
    </row>
    <row r="257" spans="2:11" x14ac:dyDescent="0.2">
      <c r="D257" t="s">
        <v>177</v>
      </c>
      <c r="E257">
        <v>3</v>
      </c>
      <c r="I257" t="s">
        <v>100</v>
      </c>
      <c r="J257" t="s">
        <v>125</v>
      </c>
      <c r="K257">
        <v>1</v>
      </c>
    </row>
    <row r="258" spans="2:11" x14ac:dyDescent="0.2">
      <c r="D258" t="s">
        <v>140</v>
      </c>
      <c r="E258">
        <v>1</v>
      </c>
      <c r="J258" t="s">
        <v>124</v>
      </c>
      <c r="K258">
        <v>2</v>
      </c>
    </row>
    <row r="259" spans="2:11" x14ac:dyDescent="0.2">
      <c r="D259" t="s">
        <v>154</v>
      </c>
      <c r="E259">
        <v>1</v>
      </c>
      <c r="J259" t="s">
        <v>101</v>
      </c>
      <c r="K259">
        <v>1</v>
      </c>
    </row>
    <row r="260" spans="2:11" x14ac:dyDescent="0.2">
      <c r="D260" t="s">
        <v>129</v>
      </c>
      <c r="E260">
        <v>2</v>
      </c>
      <c r="I260" t="s">
        <v>104</v>
      </c>
      <c r="J260" t="s">
        <v>107</v>
      </c>
      <c r="K260">
        <v>8</v>
      </c>
    </row>
    <row r="261" spans="2:11" x14ac:dyDescent="0.2">
      <c r="D261" t="s">
        <v>172</v>
      </c>
      <c r="E261">
        <v>3</v>
      </c>
      <c r="J261" t="s">
        <v>106</v>
      </c>
      <c r="K261">
        <v>8</v>
      </c>
    </row>
    <row r="262" spans="2:11" x14ac:dyDescent="0.2">
      <c r="D262" t="s">
        <v>178</v>
      </c>
      <c r="E262">
        <v>1</v>
      </c>
      <c r="J262" t="s">
        <v>105</v>
      </c>
      <c r="K262">
        <v>6</v>
      </c>
    </row>
    <row r="263" spans="2:11" x14ac:dyDescent="0.2">
      <c r="D263" t="s">
        <v>174</v>
      </c>
      <c r="E263">
        <v>1</v>
      </c>
      <c r="J263" t="s">
        <v>120</v>
      </c>
      <c r="K263">
        <v>7</v>
      </c>
    </row>
    <row r="264" spans="2:11" x14ac:dyDescent="0.2">
      <c r="D264" t="s">
        <v>168</v>
      </c>
      <c r="E264">
        <v>6</v>
      </c>
      <c r="I264" t="s">
        <v>88</v>
      </c>
      <c r="J264" t="s">
        <v>92</v>
      </c>
      <c r="K264">
        <v>1</v>
      </c>
    </row>
    <row r="265" spans="2:11" x14ac:dyDescent="0.2">
      <c r="C265" t="s">
        <v>100</v>
      </c>
      <c r="D265" t="s">
        <v>125</v>
      </c>
      <c r="E265">
        <v>1</v>
      </c>
      <c r="J265" t="s">
        <v>160</v>
      </c>
      <c r="K265">
        <v>2</v>
      </c>
    </row>
    <row r="266" spans="2:11" x14ac:dyDescent="0.2">
      <c r="D266" t="s">
        <v>124</v>
      </c>
      <c r="E266">
        <v>2</v>
      </c>
      <c r="J266" t="s">
        <v>170</v>
      </c>
      <c r="K266">
        <v>1</v>
      </c>
    </row>
    <row r="267" spans="2:11" x14ac:dyDescent="0.2">
      <c r="D267" t="s">
        <v>101</v>
      </c>
      <c r="E267">
        <v>1</v>
      </c>
      <c r="J267" t="s">
        <v>123</v>
      </c>
      <c r="K267">
        <v>1</v>
      </c>
    </row>
    <row r="268" spans="2:11" x14ac:dyDescent="0.2">
      <c r="C268" t="s">
        <v>104</v>
      </c>
      <c r="D268" t="s">
        <v>107</v>
      </c>
      <c r="E268">
        <v>8</v>
      </c>
      <c r="J268" t="s">
        <v>176</v>
      </c>
      <c r="K268">
        <v>3</v>
      </c>
    </row>
    <row r="269" spans="2:11" x14ac:dyDescent="0.2">
      <c r="D269" t="s">
        <v>106</v>
      </c>
      <c r="E269">
        <v>8</v>
      </c>
      <c r="J269" t="s">
        <v>161</v>
      </c>
      <c r="K269">
        <v>2</v>
      </c>
    </row>
    <row r="270" spans="2:11" x14ac:dyDescent="0.2">
      <c r="D270" t="s">
        <v>105</v>
      </c>
      <c r="E270">
        <v>6</v>
      </c>
      <c r="J270" t="s">
        <v>179</v>
      </c>
      <c r="K270">
        <v>1</v>
      </c>
    </row>
    <row r="271" spans="2:11" x14ac:dyDescent="0.2">
      <c r="D271" t="s">
        <v>120</v>
      </c>
      <c r="E271">
        <v>7</v>
      </c>
      <c r="J271" t="s">
        <v>114</v>
      </c>
      <c r="K271">
        <v>1</v>
      </c>
    </row>
    <row r="272" spans="2:11" x14ac:dyDescent="0.2">
      <c r="B272" t="s">
        <v>70</v>
      </c>
      <c r="C272" t="s">
        <v>88</v>
      </c>
      <c r="D272" t="s">
        <v>92</v>
      </c>
      <c r="E272">
        <v>1</v>
      </c>
      <c r="J272" t="s">
        <v>129</v>
      </c>
      <c r="K272">
        <v>2</v>
      </c>
    </row>
    <row r="273" spans="3:11" x14ac:dyDescent="0.2">
      <c r="D273" t="s">
        <v>160</v>
      </c>
      <c r="E273">
        <v>2</v>
      </c>
      <c r="J273" t="s">
        <v>172</v>
      </c>
      <c r="K273">
        <v>1</v>
      </c>
    </row>
    <row r="274" spans="3:11" x14ac:dyDescent="0.2">
      <c r="D274" t="s">
        <v>170</v>
      </c>
      <c r="E274">
        <v>1</v>
      </c>
      <c r="J274" t="s">
        <v>142</v>
      </c>
      <c r="K274">
        <v>1</v>
      </c>
    </row>
    <row r="275" spans="3:11" x14ac:dyDescent="0.2">
      <c r="D275" t="s">
        <v>123</v>
      </c>
      <c r="E275">
        <v>1</v>
      </c>
      <c r="J275" t="s">
        <v>168</v>
      </c>
      <c r="K275">
        <v>2</v>
      </c>
    </row>
    <row r="276" spans="3:11" x14ac:dyDescent="0.2">
      <c r="D276" t="s">
        <v>176</v>
      </c>
      <c r="E276">
        <v>3</v>
      </c>
      <c r="I276" t="s">
        <v>100</v>
      </c>
      <c r="J276" t="s">
        <v>103</v>
      </c>
      <c r="K276">
        <v>1</v>
      </c>
    </row>
    <row r="277" spans="3:11" x14ac:dyDescent="0.2">
      <c r="D277" t="s">
        <v>161</v>
      </c>
      <c r="E277">
        <v>2</v>
      </c>
      <c r="J277" t="s">
        <v>139</v>
      </c>
      <c r="K277">
        <v>1</v>
      </c>
    </row>
    <row r="278" spans="3:11" x14ac:dyDescent="0.2">
      <c r="D278" t="s">
        <v>179</v>
      </c>
      <c r="E278">
        <v>1</v>
      </c>
      <c r="J278" t="s">
        <v>125</v>
      </c>
      <c r="K278">
        <v>1</v>
      </c>
    </row>
    <row r="279" spans="3:11" x14ac:dyDescent="0.2">
      <c r="D279" t="s">
        <v>114</v>
      </c>
      <c r="E279">
        <v>1</v>
      </c>
      <c r="J279" t="s">
        <v>101</v>
      </c>
      <c r="K279">
        <v>3</v>
      </c>
    </row>
    <row r="280" spans="3:11" x14ac:dyDescent="0.2">
      <c r="D280" t="s">
        <v>129</v>
      </c>
      <c r="E280">
        <v>2</v>
      </c>
      <c r="I280" t="s">
        <v>104</v>
      </c>
      <c r="J280" t="s">
        <v>107</v>
      </c>
      <c r="K280">
        <v>2</v>
      </c>
    </row>
    <row r="281" spans="3:11" x14ac:dyDescent="0.2">
      <c r="D281" t="s">
        <v>172</v>
      </c>
      <c r="E281">
        <v>1</v>
      </c>
      <c r="J281" t="s">
        <v>106</v>
      </c>
      <c r="K281">
        <v>7</v>
      </c>
    </row>
    <row r="282" spans="3:11" x14ac:dyDescent="0.2">
      <c r="D282" t="s">
        <v>142</v>
      </c>
      <c r="E282">
        <v>1</v>
      </c>
      <c r="J282" t="s">
        <v>105</v>
      </c>
      <c r="K282">
        <v>6</v>
      </c>
    </row>
    <row r="283" spans="3:11" x14ac:dyDescent="0.2">
      <c r="D283" t="s">
        <v>168</v>
      </c>
      <c r="E283">
        <v>2</v>
      </c>
      <c r="J283" t="s">
        <v>120</v>
      </c>
      <c r="K283">
        <v>3</v>
      </c>
    </row>
    <row r="284" spans="3:11" x14ac:dyDescent="0.2">
      <c r="C284" t="s">
        <v>100</v>
      </c>
      <c r="D284" t="s">
        <v>103</v>
      </c>
      <c r="E284">
        <v>1</v>
      </c>
    </row>
    <row r="285" spans="3:11" x14ac:dyDescent="0.2">
      <c r="D285" t="s">
        <v>139</v>
      </c>
      <c r="E285">
        <v>1</v>
      </c>
    </row>
    <row r="286" spans="3:11" x14ac:dyDescent="0.2">
      <c r="D286" t="s">
        <v>125</v>
      </c>
      <c r="E286">
        <v>1</v>
      </c>
    </row>
    <row r="287" spans="3:11" x14ac:dyDescent="0.2">
      <c r="D287" t="s">
        <v>101</v>
      </c>
      <c r="E287">
        <v>3</v>
      </c>
    </row>
    <row r="288" spans="3:11" x14ac:dyDescent="0.2">
      <c r="C288" t="s">
        <v>104</v>
      </c>
      <c r="D288" t="s">
        <v>107</v>
      </c>
      <c r="E288">
        <v>2</v>
      </c>
    </row>
    <row r="289" spans="1:5" x14ac:dyDescent="0.2">
      <c r="D289" t="s">
        <v>106</v>
      </c>
      <c r="E289">
        <v>7</v>
      </c>
    </row>
    <row r="290" spans="1:5" x14ac:dyDescent="0.2">
      <c r="D290" t="s">
        <v>105</v>
      </c>
      <c r="E290">
        <v>6</v>
      </c>
    </row>
    <row r="291" spans="1:5" x14ac:dyDescent="0.2">
      <c r="D291" t="s">
        <v>120</v>
      </c>
      <c r="E291">
        <v>3</v>
      </c>
    </row>
    <row r="293" spans="1:5" x14ac:dyDescent="0.2">
      <c r="A293" t="s">
        <v>16</v>
      </c>
      <c r="B293" t="s">
        <v>74</v>
      </c>
      <c r="C293" t="s">
        <v>88</v>
      </c>
      <c r="D293" t="s">
        <v>122</v>
      </c>
      <c r="E293">
        <v>7</v>
      </c>
    </row>
    <row r="294" spans="1:5" x14ac:dyDescent="0.2">
      <c r="D294" t="s">
        <v>161</v>
      </c>
      <c r="E294">
        <v>5</v>
      </c>
    </row>
    <row r="295" spans="1:5" x14ac:dyDescent="0.2">
      <c r="D295" t="s">
        <v>112</v>
      </c>
      <c r="E295">
        <v>4</v>
      </c>
    </row>
    <row r="296" spans="1:5" x14ac:dyDescent="0.2">
      <c r="D296" t="s">
        <v>180</v>
      </c>
      <c r="E296">
        <v>2</v>
      </c>
    </row>
    <row r="297" spans="1:5" x14ac:dyDescent="0.2">
      <c r="D297" t="s">
        <v>181</v>
      </c>
      <c r="E297">
        <v>2</v>
      </c>
    </row>
    <row r="298" spans="1:5" x14ac:dyDescent="0.2">
      <c r="D298" t="s">
        <v>144</v>
      </c>
      <c r="E298">
        <v>1</v>
      </c>
    </row>
    <row r="299" spans="1:5" x14ac:dyDescent="0.2">
      <c r="D299" t="s">
        <v>182</v>
      </c>
      <c r="E299">
        <v>1</v>
      </c>
    </row>
    <row r="300" spans="1:5" x14ac:dyDescent="0.2">
      <c r="D300" t="s">
        <v>89</v>
      </c>
      <c r="E300">
        <v>1</v>
      </c>
    </row>
    <row r="301" spans="1:5" x14ac:dyDescent="0.2">
      <c r="D301" t="s">
        <v>98</v>
      </c>
      <c r="E301">
        <v>1</v>
      </c>
    </row>
    <row r="302" spans="1:5" x14ac:dyDescent="0.2">
      <c r="D302" t="s">
        <v>165</v>
      </c>
      <c r="E302">
        <v>1</v>
      </c>
    </row>
    <row r="303" spans="1:5" x14ac:dyDescent="0.2">
      <c r="D303" t="s">
        <v>142</v>
      </c>
      <c r="E303">
        <v>1</v>
      </c>
    </row>
    <row r="304" spans="1:5" x14ac:dyDescent="0.2">
      <c r="D304" t="s">
        <v>172</v>
      </c>
      <c r="E304">
        <v>1</v>
      </c>
    </row>
    <row r="305" spans="2:5" x14ac:dyDescent="0.2">
      <c r="C305" t="s">
        <v>104</v>
      </c>
      <c r="D305" t="s">
        <v>107</v>
      </c>
      <c r="E305">
        <v>22</v>
      </c>
    </row>
    <row r="306" spans="2:5" x14ac:dyDescent="0.2">
      <c r="D306" t="s">
        <v>120</v>
      </c>
      <c r="E306">
        <v>3</v>
      </c>
    </row>
    <row r="307" spans="2:5" x14ac:dyDescent="0.2">
      <c r="D307" t="s">
        <v>106</v>
      </c>
      <c r="E307">
        <v>1</v>
      </c>
    </row>
    <row r="308" spans="2:5" x14ac:dyDescent="0.2">
      <c r="D308" t="s">
        <v>105</v>
      </c>
      <c r="E308">
        <v>1</v>
      </c>
    </row>
    <row r="309" spans="2:5" x14ac:dyDescent="0.2">
      <c r="B309" t="s">
        <v>75</v>
      </c>
      <c r="C309" t="s">
        <v>88</v>
      </c>
      <c r="D309" t="s">
        <v>144</v>
      </c>
      <c r="E309">
        <v>1</v>
      </c>
    </row>
    <row r="310" spans="2:5" x14ac:dyDescent="0.2">
      <c r="D310" t="s">
        <v>97</v>
      </c>
      <c r="E310">
        <v>1</v>
      </c>
    </row>
    <row r="311" spans="2:5" x14ac:dyDescent="0.2">
      <c r="D311" t="s">
        <v>161</v>
      </c>
      <c r="E311">
        <v>1</v>
      </c>
    </row>
    <row r="312" spans="2:5" x14ac:dyDescent="0.2">
      <c r="D312" t="s">
        <v>98</v>
      </c>
      <c r="E312">
        <v>1</v>
      </c>
    </row>
    <row r="313" spans="2:5" x14ac:dyDescent="0.2">
      <c r="D313" t="s">
        <v>176</v>
      </c>
      <c r="E313">
        <v>1</v>
      </c>
    </row>
    <row r="314" spans="2:5" x14ac:dyDescent="0.2">
      <c r="D314" t="s">
        <v>133</v>
      </c>
      <c r="E314">
        <v>1</v>
      </c>
    </row>
    <row r="315" spans="2:5" x14ac:dyDescent="0.2">
      <c r="D315" t="s">
        <v>114</v>
      </c>
      <c r="E315">
        <v>1</v>
      </c>
    </row>
    <row r="316" spans="2:5" x14ac:dyDescent="0.2">
      <c r="D316" t="s">
        <v>115</v>
      </c>
      <c r="E316">
        <v>1</v>
      </c>
    </row>
    <row r="317" spans="2:5" x14ac:dyDescent="0.2">
      <c r="D317" t="s">
        <v>121</v>
      </c>
      <c r="E317">
        <v>1</v>
      </c>
    </row>
    <row r="318" spans="2:5" x14ac:dyDescent="0.2">
      <c r="C318" t="s">
        <v>100</v>
      </c>
      <c r="D318" t="s">
        <v>124</v>
      </c>
      <c r="E318">
        <v>1</v>
      </c>
    </row>
    <row r="319" spans="2:5" x14ac:dyDescent="0.2">
      <c r="C319" t="s">
        <v>104</v>
      </c>
      <c r="D319" t="s">
        <v>107</v>
      </c>
      <c r="E319">
        <v>5</v>
      </c>
    </row>
    <row r="320" spans="2:5" x14ac:dyDescent="0.2">
      <c r="D320" t="s">
        <v>106</v>
      </c>
      <c r="E320">
        <v>3</v>
      </c>
    </row>
    <row r="321" spans="2:5" x14ac:dyDescent="0.2">
      <c r="D321" t="s">
        <v>105</v>
      </c>
      <c r="E321">
        <v>1</v>
      </c>
    </row>
    <row r="322" spans="2:5" x14ac:dyDescent="0.2">
      <c r="B322" t="s">
        <v>76</v>
      </c>
      <c r="C322" t="s">
        <v>88</v>
      </c>
      <c r="D322" t="s">
        <v>93</v>
      </c>
      <c r="E322">
        <v>4</v>
      </c>
    </row>
    <row r="323" spans="2:5" x14ac:dyDescent="0.2">
      <c r="D323" t="s">
        <v>122</v>
      </c>
      <c r="E323">
        <v>2</v>
      </c>
    </row>
    <row r="324" spans="2:5" x14ac:dyDescent="0.2">
      <c r="D324" t="s">
        <v>123</v>
      </c>
      <c r="E324">
        <v>2</v>
      </c>
    </row>
    <row r="325" spans="2:5" x14ac:dyDescent="0.2">
      <c r="D325" t="s">
        <v>174</v>
      </c>
      <c r="E325">
        <v>1</v>
      </c>
    </row>
    <row r="326" spans="2:5" x14ac:dyDescent="0.2">
      <c r="D326" t="s">
        <v>92</v>
      </c>
      <c r="E326">
        <v>1</v>
      </c>
    </row>
    <row r="327" spans="2:5" x14ac:dyDescent="0.2">
      <c r="D327" t="s">
        <v>90</v>
      </c>
      <c r="E327">
        <v>1</v>
      </c>
    </row>
    <row r="328" spans="2:5" x14ac:dyDescent="0.2">
      <c r="D328" t="s">
        <v>175</v>
      </c>
      <c r="E328">
        <v>1</v>
      </c>
    </row>
    <row r="329" spans="2:5" x14ac:dyDescent="0.2">
      <c r="D329" t="s">
        <v>133</v>
      </c>
      <c r="E329">
        <v>1</v>
      </c>
    </row>
    <row r="330" spans="2:5" x14ac:dyDescent="0.2">
      <c r="D330" t="s">
        <v>163</v>
      </c>
      <c r="E330">
        <v>1</v>
      </c>
    </row>
    <row r="331" spans="2:5" x14ac:dyDescent="0.2">
      <c r="C331" t="s">
        <v>100</v>
      </c>
      <c r="D331" t="s">
        <v>125</v>
      </c>
      <c r="E331">
        <v>1</v>
      </c>
    </row>
    <row r="332" spans="2:5" x14ac:dyDescent="0.2">
      <c r="C332" t="s">
        <v>104</v>
      </c>
      <c r="D332" t="s">
        <v>106</v>
      </c>
      <c r="E332">
        <v>6</v>
      </c>
    </row>
    <row r="333" spans="2:5" x14ac:dyDescent="0.2">
      <c r="D333" t="s">
        <v>105</v>
      </c>
      <c r="E333">
        <v>5</v>
      </c>
    </row>
    <row r="334" spans="2:5" x14ac:dyDescent="0.2">
      <c r="D334" t="s">
        <v>107</v>
      </c>
      <c r="E334">
        <v>2</v>
      </c>
    </row>
    <row r="335" spans="2:5" x14ac:dyDescent="0.2">
      <c r="D335" t="s">
        <v>120</v>
      </c>
      <c r="E335">
        <v>1</v>
      </c>
    </row>
    <row r="336" spans="2:5" x14ac:dyDescent="0.2">
      <c r="B336" t="s">
        <v>77</v>
      </c>
      <c r="C336" t="s">
        <v>88</v>
      </c>
      <c r="D336" t="s">
        <v>161</v>
      </c>
      <c r="E336">
        <v>4</v>
      </c>
    </row>
    <row r="337" spans="2:5" x14ac:dyDescent="0.2">
      <c r="D337" t="s">
        <v>181</v>
      </c>
      <c r="E337">
        <v>2</v>
      </c>
    </row>
    <row r="338" spans="2:5" x14ac:dyDescent="0.2">
      <c r="D338" t="s">
        <v>180</v>
      </c>
      <c r="E338">
        <v>1</v>
      </c>
    </row>
    <row r="339" spans="2:5" x14ac:dyDescent="0.2">
      <c r="D339" t="s">
        <v>122</v>
      </c>
      <c r="E339">
        <v>1</v>
      </c>
    </row>
    <row r="340" spans="2:5" x14ac:dyDescent="0.2">
      <c r="D340" t="s">
        <v>111</v>
      </c>
      <c r="E340">
        <v>1</v>
      </c>
    </row>
    <row r="341" spans="2:5" x14ac:dyDescent="0.2">
      <c r="D341" t="s">
        <v>165</v>
      </c>
      <c r="E341">
        <v>1</v>
      </c>
    </row>
    <row r="342" spans="2:5" x14ac:dyDescent="0.2">
      <c r="C342" t="s">
        <v>104</v>
      </c>
      <c r="D342" t="s">
        <v>107</v>
      </c>
      <c r="E342">
        <v>8</v>
      </c>
    </row>
    <row r="343" spans="2:5" x14ac:dyDescent="0.2">
      <c r="D343" t="s">
        <v>105</v>
      </c>
      <c r="E343">
        <v>2</v>
      </c>
    </row>
    <row r="344" spans="2:5" x14ac:dyDescent="0.2">
      <c r="B344" t="s">
        <v>78</v>
      </c>
      <c r="C344" t="s">
        <v>88</v>
      </c>
      <c r="D344" t="s">
        <v>144</v>
      </c>
      <c r="E344">
        <v>1</v>
      </c>
    </row>
    <row r="345" spans="2:5" x14ac:dyDescent="0.2">
      <c r="D345" t="s">
        <v>97</v>
      </c>
      <c r="E345">
        <v>1</v>
      </c>
    </row>
    <row r="346" spans="2:5" x14ac:dyDescent="0.2">
      <c r="D346" t="s">
        <v>161</v>
      </c>
      <c r="E346">
        <v>1</v>
      </c>
    </row>
    <row r="347" spans="2:5" x14ac:dyDescent="0.2">
      <c r="D347" t="s">
        <v>98</v>
      </c>
      <c r="E347">
        <v>1</v>
      </c>
    </row>
    <row r="348" spans="2:5" x14ac:dyDescent="0.2">
      <c r="D348" t="s">
        <v>176</v>
      </c>
      <c r="E348">
        <v>1</v>
      </c>
    </row>
    <row r="349" spans="2:5" x14ac:dyDescent="0.2">
      <c r="D349" t="s">
        <v>133</v>
      </c>
      <c r="E349">
        <v>1</v>
      </c>
    </row>
    <row r="350" spans="2:5" x14ac:dyDescent="0.2">
      <c r="D350" t="s">
        <v>114</v>
      </c>
      <c r="E350">
        <v>1</v>
      </c>
    </row>
    <row r="351" spans="2:5" x14ac:dyDescent="0.2">
      <c r="D351" t="s">
        <v>115</v>
      </c>
      <c r="E351">
        <v>1</v>
      </c>
    </row>
    <row r="352" spans="2:5" x14ac:dyDescent="0.2">
      <c r="D352" t="s">
        <v>121</v>
      </c>
      <c r="E352">
        <v>1</v>
      </c>
    </row>
    <row r="353" spans="2:5" x14ac:dyDescent="0.2">
      <c r="C353" t="s">
        <v>100</v>
      </c>
      <c r="D353" t="s">
        <v>124</v>
      </c>
      <c r="E353">
        <v>1</v>
      </c>
    </row>
    <row r="354" spans="2:5" x14ac:dyDescent="0.2">
      <c r="C354" t="s">
        <v>104</v>
      </c>
      <c r="D354" t="s">
        <v>107</v>
      </c>
      <c r="E354">
        <v>5</v>
      </c>
    </row>
    <row r="355" spans="2:5" x14ac:dyDescent="0.2">
      <c r="D355" t="s">
        <v>106</v>
      </c>
      <c r="E355">
        <v>3</v>
      </c>
    </row>
    <row r="356" spans="2:5" x14ac:dyDescent="0.2">
      <c r="D356" t="s">
        <v>105</v>
      </c>
      <c r="E356">
        <v>1</v>
      </c>
    </row>
    <row r="357" spans="2:5" x14ac:dyDescent="0.2">
      <c r="B357" t="s">
        <v>79</v>
      </c>
      <c r="C357" t="s">
        <v>88</v>
      </c>
      <c r="D357" t="s">
        <v>93</v>
      </c>
      <c r="E357">
        <v>4</v>
      </c>
    </row>
    <row r="358" spans="2:5" x14ac:dyDescent="0.2">
      <c r="D358" t="s">
        <v>122</v>
      </c>
      <c r="E358">
        <v>2</v>
      </c>
    </row>
    <row r="359" spans="2:5" x14ac:dyDescent="0.2">
      <c r="D359" t="s">
        <v>123</v>
      </c>
      <c r="E359">
        <v>2</v>
      </c>
    </row>
    <row r="360" spans="2:5" x14ac:dyDescent="0.2">
      <c r="D360" t="s">
        <v>174</v>
      </c>
      <c r="E360">
        <v>1</v>
      </c>
    </row>
    <row r="361" spans="2:5" x14ac:dyDescent="0.2">
      <c r="D361" t="s">
        <v>92</v>
      </c>
      <c r="E361">
        <v>1</v>
      </c>
    </row>
    <row r="362" spans="2:5" x14ac:dyDescent="0.2">
      <c r="D362" t="s">
        <v>90</v>
      </c>
      <c r="E362">
        <v>1</v>
      </c>
    </row>
    <row r="363" spans="2:5" x14ac:dyDescent="0.2">
      <c r="D363" t="s">
        <v>175</v>
      </c>
      <c r="E363">
        <v>1</v>
      </c>
    </row>
    <row r="364" spans="2:5" x14ac:dyDescent="0.2">
      <c r="D364" t="s">
        <v>133</v>
      </c>
      <c r="E364">
        <v>1</v>
      </c>
    </row>
    <row r="365" spans="2:5" x14ac:dyDescent="0.2">
      <c r="D365" t="s">
        <v>163</v>
      </c>
      <c r="E365">
        <v>1</v>
      </c>
    </row>
    <row r="366" spans="2:5" x14ac:dyDescent="0.2">
      <c r="C366" t="s">
        <v>100</v>
      </c>
      <c r="D366" t="s">
        <v>125</v>
      </c>
      <c r="E366">
        <v>1</v>
      </c>
    </row>
    <row r="367" spans="2:5" x14ac:dyDescent="0.2">
      <c r="C367" t="s">
        <v>104</v>
      </c>
      <c r="D367" t="s">
        <v>106</v>
      </c>
      <c r="E367">
        <v>6</v>
      </c>
    </row>
    <row r="368" spans="2:5" x14ac:dyDescent="0.2">
      <c r="D368" t="s">
        <v>105</v>
      </c>
      <c r="E368">
        <v>5</v>
      </c>
    </row>
    <row r="369" spans="1:5" x14ac:dyDescent="0.2">
      <c r="D369" t="s">
        <v>107</v>
      </c>
      <c r="E369">
        <v>2</v>
      </c>
    </row>
    <row r="370" spans="1:5" x14ac:dyDescent="0.2">
      <c r="D370" t="s">
        <v>120</v>
      </c>
      <c r="E370">
        <v>1</v>
      </c>
    </row>
    <row r="372" spans="1:5" x14ac:dyDescent="0.2">
      <c r="A372" s="5" t="s">
        <v>188</v>
      </c>
      <c r="C372" t="s">
        <v>88</v>
      </c>
      <c r="D372" t="s">
        <v>142</v>
      </c>
      <c r="E372">
        <v>33</v>
      </c>
    </row>
    <row r="373" spans="1:5" x14ac:dyDescent="0.2">
      <c r="D373" t="s">
        <v>108</v>
      </c>
      <c r="E373">
        <v>26</v>
      </c>
    </row>
    <row r="374" spans="1:5" x14ac:dyDescent="0.2">
      <c r="D374" t="s">
        <v>157</v>
      </c>
      <c r="E374">
        <v>25</v>
      </c>
    </row>
    <row r="375" spans="1:5" x14ac:dyDescent="0.2">
      <c r="D375" t="s">
        <v>163</v>
      </c>
      <c r="E375">
        <v>20</v>
      </c>
    </row>
    <row r="376" spans="1:5" x14ac:dyDescent="0.2">
      <c r="D376" t="s">
        <v>164</v>
      </c>
      <c r="E376">
        <v>19</v>
      </c>
    </row>
    <row r="377" spans="1:5" x14ac:dyDescent="0.2">
      <c r="D377" t="s">
        <v>140</v>
      </c>
      <c r="E377">
        <v>19</v>
      </c>
    </row>
    <row r="378" spans="1:5" x14ac:dyDescent="0.2">
      <c r="D378" t="s">
        <v>189</v>
      </c>
      <c r="E378">
        <v>18</v>
      </c>
    </row>
    <row r="379" spans="1:5" x14ac:dyDescent="0.2">
      <c r="D379" t="s">
        <v>180</v>
      </c>
      <c r="E379">
        <v>15</v>
      </c>
    </row>
    <row r="380" spans="1:5" x14ac:dyDescent="0.2">
      <c r="D380" t="s">
        <v>95</v>
      </c>
      <c r="E380">
        <v>15</v>
      </c>
    </row>
    <row r="381" spans="1:5" x14ac:dyDescent="0.2">
      <c r="D381" t="s">
        <v>190</v>
      </c>
      <c r="E381">
        <v>14</v>
      </c>
    </row>
    <row r="382" spans="1:5" x14ac:dyDescent="0.2">
      <c r="D382" t="s">
        <v>110</v>
      </c>
      <c r="E382">
        <v>14</v>
      </c>
    </row>
    <row r="383" spans="1:5" x14ac:dyDescent="0.2">
      <c r="D383" t="s">
        <v>141</v>
      </c>
      <c r="E383">
        <v>14</v>
      </c>
    </row>
    <row r="384" spans="1:5" x14ac:dyDescent="0.2">
      <c r="D384" t="s">
        <v>179</v>
      </c>
      <c r="E384">
        <v>14</v>
      </c>
    </row>
    <row r="385" spans="4:5" x14ac:dyDescent="0.2">
      <c r="D385" t="s">
        <v>130</v>
      </c>
      <c r="E385">
        <v>13</v>
      </c>
    </row>
    <row r="386" spans="4:5" x14ac:dyDescent="0.2">
      <c r="D386" t="s">
        <v>133</v>
      </c>
      <c r="E386">
        <v>13</v>
      </c>
    </row>
    <row r="387" spans="4:5" x14ac:dyDescent="0.2">
      <c r="D387" t="s">
        <v>122</v>
      </c>
      <c r="E387">
        <v>12</v>
      </c>
    </row>
    <row r="388" spans="4:5" x14ac:dyDescent="0.2">
      <c r="D388" t="s">
        <v>191</v>
      </c>
      <c r="E388">
        <v>12</v>
      </c>
    </row>
    <row r="389" spans="4:5" x14ac:dyDescent="0.2">
      <c r="D389" t="s">
        <v>92</v>
      </c>
      <c r="E389">
        <v>12</v>
      </c>
    </row>
    <row r="390" spans="4:5" x14ac:dyDescent="0.2">
      <c r="D390" t="s">
        <v>114</v>
      </c>
      <c r="E390">
        <v>12</v>
      </c>
    </row>
    <row r="391" spans="4:5" x14ac:dyDescent="0.2">
      <c r="D391" t="s">
        <v>132</v>
      </c>
      <c r="E391">
        <v>12</v>
      </c>
    </row>
    <row r="392" spans="4:5" x14ac:dyDescent="0.2">
      <c r="D392" t="s">
        <v>135</v>
      </c>
      <c r="E392">
        <v>11</v>
      </c>
    </row>
    <row r="393" spans="4:5" x14ac:dyDescent="0.2">
      <c r="D393" t="s">
        <v>192</v>
      </c>
      <c r="E393">
        <v>11</v>
      </c>
    </row>
    <row r="394" spans="4:5" x14ac:dyDescent="0.2">
      <c r="D394" t="s">
        <v>193</v>
      </c>
      <c r="E394">
        <v>11</v>
      </c>
    </row>
    <row r="395" spans="4:5" x14ac:dyDescent="0.2">
      <c r="D395" t="s">
        <v>194</v>
      </c>
      <c r="E395">
        <v>9</v>
      </c>
    </row>
    <row r="396" spans="4:5" x14ac:dyDescent="0.2">
      <c r="D396" t="s">
        <v>144</v>
      </c>
      <c r="E396">
        <v>9</v>
      </c>
    </row>
    <row r="397" spans="4:5" x14ac:dyDescent="0.2">
      <c r="D397" t="s">
        <v>176</v>
      </c>
      <c r="E397">
        <v>9</v>
      </c>
    </row>
    <row r="398" spans="4:5" x14ac:dyDescent="0.2">
      <c r="D398" t="s">
        <v>195</v>
      </c>
      <c r="E398">
        <v>8</v>
      </c>
    </row>
    <row r="399" spans="4:5" x14ac:dyDescent="0.2">
      <c r="D399" t="s">
        <v>196</v>
      </c>
      <c r="E399">
        <v>8</v>
      </c>
    </row>
    <row r="400" spans="4:5" x14ac:dyDescent="0.2">
      <c r="D400" t="s">
        <v>111</v>
      </c>
      <c r="E400">
        <v>8</v>
      </c>
    </row>
    <row r="401" spans="4:5" x14ac:dyDescent="0.2">
      <c r="D401" t="s">
        <v>90</v>
      </c>
      <c r="E401">
        <v>7</v>
      </c>
    </row>
    <row r="402" spans="4:5" x14ac:dyDescent="0.2">
      <c r="D402" t="s">
        <v>197</v>
      </c>
      <c r="E402">
        <v>7</v>
      </c>
    </row>
    <row r="403" spans="4:5" x14ac:dyDescent="0.2">
      <c r="D403" t="s">
        <v>198</v>
      </c>
      <c r="E403">
        <v>7</v>
      </c>
    </row>
    <row r="404" spans="4:5" x14ac:dyDescent="0.2">
      <c r="D404" t="s">
        <v>199</v>
      </c>
      <c r="E404">
        <v>7</v>
      </c>
    </row>
    <row r="405" spans="4:5" x14ac:dyDescent="0.2">
      <c r="D405" t="s">
        <v>94</v>
      </c>
      <c r="E405">
        <v>6</v>
      </c>
    </row>
    <row r="406" spans="4:5" x14ac:dyDescent="0.2">
      <c r="D406" t="s">
        <v>98</v>
      </c>
      <c r="E406">
        <v>6</v>
      </c>
    </row>
    <row r="407" spans="4:5" x14ac:dyDescent="0.2">
      <c r="D407" t="s">
        <v>159</v>
      </c>
      <c r="E407">
        <v>6</v>
      </c>
    </row>
    <row r="408" spans="4:5" x14ac:dyDescent="0.2">
      <c r="D408" t="s">
        <v>143</v>
      </c>
      <c r="E408">
        <v>5</v>
      </c>
    </row>
    <row r="409" spans="4:5" x14ac:dyDescent="0.2">
      <c r="D409" t="s">
        <v>109</v>
      </c>
      <c r="E409">
        <v>5</v>
      </c>
    </row>
    <row r="410" spans="4:5" x14ac:dyDescent="0.2">
      <c r="D410" t="s">
        <v>200</v>
      </c>
      <c r="E410">
        <v>5</v>
      </c>
    </row>
    <row r="411" spans="4:5" x14ac:dyDescent="0.2">
      <c r="D411" t="s">
        <v>201</v>
      </c>
      <c r="E411">
        <v>5</v>
      </c>
    </row>
    <row r="412" spans="4:5" x14ac:dyDescent="0.2">
      <c r="D412" t="s">
        <v>202</v>
      </c>
      <c r="E412">
        <v>5</v>
      </c>
    </row>
    <row r="413" spans="4:5" x14ac:dyDescent="0.2">
      <c r="D413" t="s">
        <v>203</v>
      </c>
      <c r="E413">
        <v>5</v>
      </c>
    </row>
    <row r="414" spans="4:5" x14ac:dyDescent="0.2">
      <c r="D414" t="s">
        <v>174</v>
      </c>
      <c r="E414">
        <v>5</v>
      </c>
    </row>
    <row r="415" spans="4:5" x14ac:dyDescent="0.2">
      <c r="D415" t="s">
        <v>89</v>
      </c>
      <c r="E415">
        <v>5</v>
      </c>
    </row>
    <row r="416" spans="4:5" x14ac:dyDescent="0.2">
      <c r="D416" t="s">
        <v>173</v>
      </c>
      <c r="E416">
        <v>5</v>
      </c>
    </row>
    <row r="417" spans="4:5" x14ac:dyDescent="0.2">
      <c r="D417" t="s">
        <v>136</v>
      </c>
      <c r="E417">
        <v>4</v>
      </c>
    </row>
    <row r="418" spans="4:5" x14ac:dyDescent="0.2">
      <c r="D418" t="s">
        <v>204</v>
      </c>
      <c r="E418">
        <v>4</v>
      </c>
    </row>
    <row r="419" spans="4:5" x14ac:dyDescent="0.2">
      <c r="D419" t="s">
        <v>205</v>
      </c>
      <c r="E419">
        <v>4</v>
      </c>
    </row>
    <row r="420" spans="4:5" x14ac:dyDescent="0.2">
      <c r="D420" t="s">
        <v>206</v>
      </c>
      <c r="E420">
        <v>4</v>
      </c>
    </row>
    <row r="421" spans="4:5" x14ac:dyDescent="0.2">
      <c r="D421" t="s">
        <v>207</v>
      </c>
      <c r="E421">
        <v>4</v>
      </c>
    </row>
    <row r="422" spans="4:5" x14ac:dyDescent="0.2">
      <c r="D422" t="s">
        <v>172</v>
      </c>
      <c r="E422">
        <v>4</v>
      </c>
    </row>
    <row r="423" spans="4:5" x14ac:dyDescent="0.2">
      <c r="D423" t="s">
        <v>168</v>
      </c>
      <c r="E423">
        <v>3</v>
      </c>
    </row>
    <row r="424" spans="4:5" x14ac:dyDescent="0.2">
      <c r="D424" t="s">
        <v>208</v>
      </c>
      <c r="E424">
        <v>3</v>
      </c>
    </row>
    <row r="425" spans="4:5" x14ac:dyDescent="0.2">
      <c r="D425" t="s">
        <v>209</v>
      </c>
      <c r="E425">
        <v>3</v>
      </c>
    </row>
    <row r="426" spans="4:5" x14ac:dyDescent="0.2">
      <c r="D426" t="s">
        <v>210</v>
      </c>
      <c r="E426">
        <v>3</v>
      </c>
    </row>
    <row r="427" spans="4:5" x14ac:dyDescent="0.2">
      <c r="D427" t="s">
        <v>170</v>
      </c>
      <c r="E427">
        <v>3</v>
      </c>
    </row>
    <row r="428" spans="4:5" x14ac:dyDescent="0.2">
      <c r="D428" t="s">
        <v>211</v>
      </c>
      <c r="E428">
        <v>3</v>
      </c>
    </row>
    <row r="429" spans="4:5" x14ac:dyDescent="0.2">
      <c r="D429" t="s">
        <v>212</v>
      </c>
      <c r="E429">
        <v>3</v>
      </c>
    </row>
    <row r="430" spans="4:5" x14ac:dyDescent="0.2">
      <c r="D430" t="s">
        <v>161</v>
      </c>
      <c r="E430">
        <v>3</v>
      </c>
    </row>
    <row r="431" spans="4:5" x14ac:dyDescent="0.2">
      <c r="D431" t="s">
        <v>213</v>
      </c>
      <c r="E431">
        <v>3</v>
      </c>
    </row>
    <row r="432" spans="4:5" x14ac:dyDescent="0.2">
      <c r="D432" t="s">
        <v>214</v>
      </c>
      <c r="E432">
        <v>3</v>
      </c>
    </row>
    <row r="433" spans="4:5" x14ac:dyDescent="0.2">
      <c r="D433" t="s">
        <v>215</v>
      </c>
      <c r="E433">
        <v>2</v>
      </c>
    </row>
    <row r="434" spans="4:5" x14ac:dyDescent="0.2">
      <c r="D434" t="s">
        <v>167</v>
      </c>
      <c r="E434">
        <v>2</v>
      </c>
    </row>
    <row r="435" spans="4:5" x14ac:dyDescent="0.2">
      <c r="D435" t="s">
        <v>216</v>
      </c>
      <c r="E435">
        <v>2</v>
      </c>
    </row>
    <row r="436" spans="4:5" x14ac:dyDescent="0.2">
      <c r="D436" t="s">
        <v>165</v>
      </c>
      <c r="E436">
        <v>2</v>
      </c>
    </row>
    <row r="437" spans="4:5" x14ac:dyDescent="0.2">
      <c r="D437" t="s">
        <v>217</v>
      </c>
      <c r="E437">
        <v>2</v>
      </c>
    </row>
    <row r="438" spans="4:5" x14ac:dyDescent="0.2">
      <c r="D438" t="s">
        <v>218</v>
      </c>
      <c r="E438">
        <v>2</v>
      </c>
    </row>
    <row r="439" spans="4:5" x14ac:dyDescent="0.2">
      <c r="D439" t="s">
        <v>117</v>
      </c>
      <c r="E439">
        <v>2</v>
      </c>
    </row>
    <row r="440" spans="4:5" x14ac:dyDescent="0.2">
      <c r="D440" t="s">
        <v>219</v>
      </c>
      <c r="E440">
        <v>2</v>
      </c>
    </row>
    <row r="441" spans="4:5" x14ac:dyDescent="0.2">
      <c r="D441" t="s">
        <v>112</v>
      </c>
      <c r="E441">
        <v>2</v>
      </c>
    </row>
    <row r="442" spans="4:5" x14ac:dyDescent="0.2">
      <c r="D442" t="s">
        <v>220</v>
      </c>
      <c r="E442">
        <v>2</v>
      </c>
    </row>
    <row r="443" spans="4:5" x14ac:dyDescent="0.2">
      <c r="D443" t="s">
        <v>221</v>
      </c>
      <c r="E443">
        <v>2</v>
      </c>
    </row>
    <row r="444" spans="4:5" x14ac:dyDescent="0.2">
      <c r="D444" t="s">
        <v>178</v>
      </c>
      <c r="E444">
        <v>2</v>
      </c>
    </row>
    <row r="445" spans="4:5" x14ac:dyDescent="0.2">
      <c r="D445" t="s">
        <v>222</v>
      </c>
      <c r="E445">
        <v>2</v>
      </c>
    </row>
    <row r="446" spans="4:5" x14ac:dyDescent="0.2">
      <c r="D446" t="s">
        <v>223</v>
      </c>
      <c r="E446">
        <v>2</v>
      </c>
    </row>
    <row r="447" spans="4:5" x14ac:dyDescent="0.2">
      <c r="D447" t="s">
        <v>224</v>
      </c>
      <c r="E447">
        <v>2</v>
      </c>
    </row>
    <row r="448" spans="4:5" x14ac:dyDescent="0.2">
      <c r="D448" t="s">
        <v>225</v>
      </c>
      <c r="E448">
        <v>2</v>
      </c>
    </row>
    <row r="449" spans="4:5" x14ac:dyDescent="0.2">
      <c r="D449" t="s">
        <v>226</v>
      </c>
      <c r="E449">
        <v>2</v>
      </c>
    </row>
    <row r="450" spans="4:5" x14ac:dyDescent="0.2">
      <c r="D450" t="s">
        <v>97</v>
      </c>
      <c r="E450">
        <v>2</v>
      </c>
    </row>
    <row r="451" spans="4:5" x14ac:dyDescent="0.2">
      <c r="D451" t="s">
        <v>227</v>
      </c>
      <c r="E451">
        <v>2</v>
      </c>
    </row>
    <row r="452" spans="4:5" x14ac:dyDescent="0.2">
      <c r="D452" t="s">
        <v>182</v>
      </c>
      <c r="E452">
        <v>1</v>
      </c>
    </row>
    <row r="453" spans="4:5" x14ac:dyDescent="0.2">
      <c r="D453" t="s">
        <v>228</v>
      </c>
      <c r="E453">
        <v>1</v>
      </c>
    </row>
    <row r="454" spans="4:5" x14ac:dyDescent="0.2">
      <c r="D454" t="s">
        <v>229</v>
      </c>
      <c r="E454">
        <v>1</v>
      </c>
    </row>
    <row r="455" spans="4:5" x14ac:dyDescent="0.2">
      <c r="D455" t="s">
        <v>230</v>
      </c>
      <c r="E455">
        <v>1</v>
      </c>
    </row>
    <row r="456" spans="4:5" x14ac:dyDescent="0.2">
      <c r="D456" t="s">
        <v>231</v>
      </c>
      <c r="E456">
        <v>1</v>
      </c>
    </row>
    <row r="457" spans="4:5" x14ac:dyDescent="0.2">
      <c r="D457" t="s">
        <v>138</v>
      </c>
      <c r="E457">
        <v>1</v>
      </c>
    </row>
    <row r="458" spans="4:5" x14ac:dyDescent="0.2">
      <c r="D458" t="s">
        <v>152</v>
      </c>
      <c r="E458">
        <v>1</v>
      </c>
    </row>
    <row r="459" spans="4:5" x14ac:dyDescent="0.2">
      <c r="D459" t="s">
        <v>232</v>
      </c>
      <c r="E459">
        <v>1</v>
      </c>
    </row>
    <row r="460" spans="4:5" x14ac:dyDescent="0.2">
      <c r="D460" t="s">
        <v>149</v>
      </c>
      <c r="E460">
        <v>1</v>
      </c>
    </row>
    <row r="461" spans="4:5" x14ac:dyDescent="0.2">
      <c r="D461" t="s">
        <v>233</v>
      </c>
      <c r="E461">
        <v>1</v>
      </c>
    </row>
    <row r="462" spans="4:5" x14ac:dyDescent="0.2">
      <c r="D462" t="s">
        <v>234</v>
      </c>
      <c r="E462">
        <v>1</v>
      </c>
    </row>
    <row r="463" spans="4:5" x14ac:dyDescent="0.2">
      <c r="D463" t="s">
        <v>235</v>
      </c>
      <c r="E463">
        <v>1</v>
      </c>
    </row>
    <row r="464" spans="4:5" x14ac:dyDescent="0.2">
      <c r="D464" t="s">
        <v>236</v>
      </c>
      <c r="E464">
        <v>1</v>
      </c>
    </row>
    <row r="465" spans="3:5" x14ac:dyDescent="0.2">
      <c r="D465" t="s">
        <v>91</v>
      </c>
      <c r="E465">
        <v>1</v>
      </c>
    </row>
    <row r="466" spans="3:5" x14ac:dyDescent="0.2">
      <c r="C466" t="s">
        <v>100</v>
      </c>
      <c r="D466" t="s">
        <v>125</v>
      </c>
      <c r="E466">
        <v>158</v>
      </c>
    </row>
    <row r="467" spans="3:5" x14ac:dyDescent="0.2">
      <c r="D467" t="s">
        <v>145</v>
      </c>
      <c r="E467">
        <v>71</v>
      </c>
    </row>
    <row r="468" spans="3:5" x14ac:dyDescent="0.2">
      <c r="D468" t="s">
        <v>124</v>
      </c>
      <c r="E468">
        <v>65</v>
      </c>
    </row>
    <row r="469" spans="3:5" x14ac:dyDescent="0.2">
      <c r="D469" t="s">
        <v>134</v>
      </c>
      <c r="E469">
        <v>52</v>
      </c>
    </row>
    <row r="470" spans="3:5" x14ac:dyDescent="0.2">
      <c r="D470" t="s">
        <v>139</v>
      </c>
      <c r="E470">
        <v>48</v>
      </c>
    </row>
    <row r="471" spans="3:5" x14ac:dyDescent="0.2">
      <c r="D471" t="s">
        <v>137</v>
      </c>
      <c r="E471">
        <v>32</v>
      </c>
    </row>
    <row r="472" spans="3:5" x14ac:dyDescent="0.2">
      <c r="D472" t="s">
        <v>103</v>
      </c>
      <c r="E472">
        <v>30</v>
      </c>
    </row>
    <row r="473" spans="3:5" x14ac:dyDescent="0.2">
      <c r="D473" t="s">
        <v>146</v>
      </c>
      <c r="E473">
        <v>19</v>
      </c>
    </row>
    <row r="474" spans="3:5" x14ac:dyDescent="0.2">
      <c r="D474" t="s">
        <v>131</v>
      </c>
      <c r="E474">
        <v>16</v>
      </c>
    </row>
    <row r="475" spans="3:5" x14ac:dyDescent="0.2">
      <c r="D475" t="s">
        <v>237</v>
      </c>
      <c r="E475">
        <v>15</v>
      </c>
    </row>
    <row r="476" spans="3:5" x14ac:dyDescent="0.2">
      <c r="D476" t="s">
        <v>238</v>
      </c>
      <c r="E476">
        <v>6</v>
      </c>
    </row>
    <row r="477" spans="3:5" x14ac:dyDescent="0.2">
      <c r="D477" t="s">
        <v>239</v>
      </c>
      <c r="E477">
        <v>2</v>
      </c>
    </row>
    <row r="478" spans="3:5" x14ac:dyDescent="0.2">
      <c r="D478" t="s">
        <v>119</v>
      </c>
      <c r="E478">
        <v>2</v>
      </c>
    </row>
    <row r="479" spans="3:5" x14ac:dyDescent="0.2">
      <c r="D479" t="s">
        <v>240</v>
      </c>
      <c r="E479">
        <v>2</v>
      </c>
    </row>
    <row r="480" spans="3:5" x14ac:dyDescent="0.2">
      <c r="D480" t="s">
        <v>147</v>
      </c>
      <c r="E480">
        <v>1</v>
      </c>
    </row>
    <row r="481" spans="3:5" x14ac:dyDescent="0.2">
      <c r="D481" t="s">
        <v>241</v>
      </c>
      <c r="E481">
        <v>1</v>
      </c>
    </row>
    <row r="482" spans="3:5" x14ac:dyDescent="0.2">
      <c r="D482" t="s">
        <v>242</v>
      </c>
      <c r="E482">
        <v>1</v>
      </c>
    </row>
    <row r="483" spans="3:5" x14ac:dyDescent="0.2">
      <c r="D483" t="s">
        <v>243</v>
      </c>
      <c r="E483">
        <v>1</v>
      </c>
    </row>
    <row r="484" spans="3:5" x14ac:dyDescent="0.2">
      <c r="D484" t="s">
        <v>244</v>
      </c>
      <c r="E484">
        <v>1</v>
      </c>
    </row>
    <row r="485" spans="3:5" x14ac:dyDescent="0.2">
      <c r="C485" t="s">
        <v>104</v>
      </c>
      <c r="D485" t="s">
        <v>106</v>
      </c>
      <c r="E485">
        <v>222</v>
      </c>
    </row>
    <row r="486" spans="3:5" x14ac:dyDescent="0.2">
      <c r="D486" t="s">
        <v>105</v>
      </c>
      <c r="E486">
        <v>187</v>
      </c>
    </row>
    <row r="487" spans="3:5" x14ac:dyDescent="0.2">
      <c r="D487" t="s">
        <v>107</v>
      </c>
      <c r="E487">
        <v>131</v>
      </c>
    </row>
    <row r="488" spans="3:5" x14ac:dyDescent="0.2">
      <c r="D488" t="s">
        <v>120</v>
      </c>
      <c r="E488">
        <v>73</v>
      </c>
    </row>
  </sheetData>
  <sortState xmlns:xlrd2="http://schemas.microsoft.com/office/spreadsheetml/2017/richdata2" ref="AI14:AK42">
    <sortCondition descending="1" ref="AK14:AK42"/>
  </sortState>
  <phoneticPr fontId="1" type="noConversion"/>
  <hyperlinks>
    <hyperlink ref="A372" r:id="rId1" xr:uid="{CF1A65D5-B485-8547-B014-7E893F28EC3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CC7A-4A7C-A145-A4E3-A7075D1F20FA}">
  <dimension ref="A1:AK165"/>
  <sheetViews>
    <sheetView topLeftCell="U97" workbookViewId="0">
      <selection activeCell="AF122" sqref="AF122:AH122"/>
    </sheetView>
  </sheetViews>
  <sheetFormatPr baseColWidth="10" defaultRowHeight="16" x14ac:dyDescent="0.2"/>
  <cols>
    <col min="24" max="24" width="13" bestFit="1" customWidth="1"/>
    <col min="25" max="25" width="12.1640625" bestFit="1" customWidth="1"/>
  </cols>
  <sheetData>
    <row r="1" spans="1:37" x14ac:dyDescent="0.2">
      <c r="A1" t="s">
        <v>183</v>
      </c>
      <c r="B1" t="s">
        <v>1</v>
      </c>
      <c r="C1" t="s">
        <v>2</v>
      </c>
      <c r="D1" t="s">
        <v>3</v>
      </c>
      <c r="F1" t="s">
        <v>186</v>
      </c>
      <c r="G1" t="s">
        <v>1</v>
      </c>
      <c r="H1" t="s">
        <v>2</v>
      </c>
      <c r="I1" t="s">
        <v>3</v>
      </c>
      <c r="K1" t="s">
        <v>245</v>
      </c>
      <c r="L1" t="s">
        <v>1</v>
      </c>
      <c r="M1" t="s">
        <v>2</v>
      </c>
      <c r="N1" t="s">
        <v>3</v>
      </c>
      <c r="P1" t="s">
        <v>1</v>
      </c>
      <c r="Q1" t="s">
        <v>2</v>
      </c>
      <c r="R1" t="s">
        <v>3</v>
      </c>
      <c r="T1" t="s">
        <v>1</v>
      </c>
      <c r="U1" t="s">
        <v>2</v>
      </c>
      <c r="V1" t="s">
        <v>3</v>
      </c>
      <c r="X1" s="20" t="s">
        <v>1</v>
      </c>
      <c r="Y1" s="21" t="s">
        <v>2</v>
      </c>
      <c r="Z1" s="22" t="s">
        <v>3</v>
      </c>
      <c r="AB1" s="20" t="s">
        <v>1</v>
      </c>
      <c r="AC1" s="21" t="s">
        <v>2</v>
      </c>
      <c r="AD1" s="22" t="s">
        <v>3</v>
      </c>
      <c r="AF1" s="20" t="s">
        <v>1</v>
      </c>
      <c r="AG1" s="21" t="s">
        <v>2</v>
      </c>
      <c r="AH1" s="22" t="s">
        <v>3</v>
      </c>
    </row>
    <row r="2" spans="1:37" x14ac:dyDescent="0.2">
      <c r="B2" t="s">
        <v>100</v>
      </c>
      <c r="C2" t="s">
        <v>124</v>
      </c>
      <c r="D2">
        <v>2</v>
      </c>
      <c r="G2" t="s">
        <v>100</v>
      </c>
      <c r="H2" t="s">
        <v>125</v>
      </c>
      <c r="I2">
        <v>31</v>
      </c>
      <c r="L2" t="s">
        <v>88</v>
      </c>
      <c r="M2" t="s">
        <v>142</v>
      </c>
      <c r="N2">
        <v>33</v>
      </c>
      <c r="P2" t="s">
        <v>100</v>
      </c>
      <c r="Q2" t="s">
        <v>125</v>
      </c>
      <c r="R2">
        <v>158</v>
      </c>
      <c r="T2" t="s">
        <v>104</v>
      </c>
      <c r="U2" t="s">
        <v>106</v>
      </c>
      <c r="V2">
        <v>222</v>
      </c>
      <c r="X2" s="23" t="s">
        <v>104</v>
      </c>
      <c r="Y2" s="24" t="str" cm="1">
        <f t="array" ref="Y2:Y5">_xlfn.UNIQUE(U2:U9)</f>
        <v>IGHJ4</v>
      </c>
      <c r="Z2" s="25">
        <f>SUMIF(U:U, Y2, V:V)</f>
        <v>324</v>
      </c>
      <c r="AB2" s="23" t="s">
        <v>100</v>
      </c>
      <c r="AC2" s="24" t="s">
        <v>125</v>
      </c>
      <c r="AD2" s="25">
        <v>189</v>
      </c>
      <c r="AF2" s="23" t="s">
        <v>88</v>
      </c>
      <c r="AG2" s="24" t="s">
        <v>150</v>
      </c>
      <c r="AH2" s="25">
        <v>38</v>
      </c>
      <c r="AJ2" s="7"/>
      <c r="AK2" s="7"/>
    </row>
    <row r="3" spans="1:37" x14ac:dyDescent="0.2">
      <c r="B3" t="s">
        <v>100</v>
      </c>
      <c r="C3" t="s">
        <v>125</v>
      </c>
      <c r="D3">
        <v>2</v>
      </c>
      <c r="G3" t="s">
        <v>100</v>
      </c>
      <c r="H3" t="s">
        <v>103</v>
      </c>
      <c r="I3">
        <v>7</v>
      </c>
      <c r="L3" t="s">
        <v>88</v>
      </c>
      <c r="M3" t="s">
        <v>108</v>
      </c>
      <c r="N3">
        <v>26</v>
      </c>
      <c r="P3" t="s">
        <v>100</v>
      </c>
      <c r="Q3" t="s">
        <v>145</v>
      </c>
      <c r="R3">
        <v>71</v>
      </c>
      <c r="T3" t="s">
        <v>104</v>
      </c>
      <c r="U3" t="s">
        <v>106</v>
      </c>
      <c r="V3">
        <v>102</v>
      </c>
      <c r="X3" s="23" t="s">
        <v>104</v>
      </c>
      <c r="Y3" s="24" t="str">
        <v>IGHJ3</v>
      </c>
      <c r="Z3" s="25">
        <f t="shared" ref="Z3:Z5" si="0">SUMIF(U:U, Y3, V:V)</f>
        <v>209</v>
      </c>
      <c r="AB3" s="23" t="s">
        <v>100</v>
      </c>
      <c r="AC3" s="24" t="s">
        <v>145</v>
      </c>
      <c r="AD3" s="25">
        <v>73</v>
      </c>
      <c r="AF3" s="23" t="s">
        <v>88</v>
      </c>
      <c r="AG3" s="24" t="s">
        <v>142</v>
      </c>
      <c r="AH3" s="25">
        <v>35</v>
      </c>
      <c r="AJ3" s="7"/>
      <c r="AK3" s="7"/>
    </row>
    <row r="4" spans="1:37" x14ac:dyDescent="0.2">
      <c r="B4" t="s">
        <v>100</v>
      </c>
      <c r="C4" t="s">
        <v>103</v>
      </c>
      <c r="D4">
        <v>1</v>
      </c>
      <c r="G4" t="s">
        <v>100</v>
      </c>
      <c r="H4" t="s">
        <v>101</v>
      </c>
      <c r="I4">
        <v>6</v>
      </c>
      <c r="L4" t="s">
        <v>88</v>
      </c>
      <c r="M4" t="s">
        <v>157</v>
      </c>
      <c r="N4">
        <v>25</v>
      </c>
      <c r="P4" t="s">
        <v>100</v>
      </c>
      <c r="Q4" t="s">
        <v>124</v>
      </c>
      <c r="R4">
        <v>65</v>
      </c>
      <c r="T4" t="s">
        <v>104</v>
      </c>
      <c r="U4" t="s">
        <v>107</v>
      </c>
      <c r="V4">
        <v>131</v>
      </c>
      <c r="X4" s="23" t="s">
        <v>104</v>
      </c>
      <c r="Y4" s="24" t="str">
        <v>IGHJ2</v>
      </c>
      <c r="Z4" s="25">
        <f t="shared" si="0"/>
        <v>274</v>
      </c>
      <c r="AB4" s="23" t="s">
        <v>100</v>
      </c>
      <c r="AC4" s="24" t="s">
        <v>124</v>
      </c>
      <c r="AD4" s="25">
        <v>71</v>
      </c>
      <c r="AF4" s="23" t="s">
        <v>88</v>
      </c>
      <c r="AG4" s="24" t="s">
        <v>108</v>
      </c>
      <c r="AH4" s="25">
        <v>32</v>
      </c>
      <c r="AJ4" s="7"/>
      <c r="AK4" s="7"/>
    </row>
    <row r="5" spans="1:37" x14ac:dyDescent="0.2">
      <c r="B5" t="s">
        <v>1</v>
      </c>
      <c r="C5" t="s">
        <v>2</v>
      </c>
      <c r="D5" t="s">
        <v>3</v>
      </c>
      <c r="G5" t="s">
        <v>100</v>
      </c>
      <c r="H5" t="s">
        <v>124</v>
      </c>
      <c r="I5">
        <v>6</v>
      </c>
      <c r="L5" t="s">
        <v>88</v>
      </c>
      <c r="M5" t="s">
        <v>163</v>
      </c>
      <c r="N5">
        <v>20</v>
      </c>
      <c r="P5" t="s">
        <v>100</v>
      </c>
      <c r="Q5" t="s">
        <v>134</v>
      </c>
      <c r="R5">
        <v>52</v>
      </c>
      <c r="T5" t="s">
        <v>104</v>
      </c>
      <c r="U5" t="s">
        <v>107</v>
      </c>
      <c r="V5">
        <v>78</v>
      </c>
      <c r="X5" s="26" t="s">
        <v>104</v>
      </c>
      <c r="Y5" s="27" t="str">
        <v>IGHJ1</v>
      </c>
      <c r="Z5" s="28">
        <f t="shared" si="0"/>
        <v>114</v>
      </c>
      <c r="AB5" s="23" t="s">
        <v>100</v>
      </c>
      <c r="AC5" s="24" t="s">
        <v>134</v>
      </c>
      <c r="AD5" s="25">
        <v>56</v>
      </c>
      <c r="AF5" s="23" t="s">
        <v>88</v>
      </c>
      <c r="AG5" s="24" t="s">
        <v>95</v>
      </c>
      <c r="AH5" s="25">
        <v>30</v>
      </c>
      <c r="AJ5" s="7"/>
      <c r="AK5" s="7"/>
    </row>
    <row r="6" spans="1:37" x14ac:dyDescent="0.2">
      <c r="B6" t="s">
        <v>104</v>
      </c>
      <c r="C6" t="s">
        <v>107</v>
      </c>
      <c r="D6">
        <v>44</v>
      </c>
      <c r="G6" t="s">
        <v>100</v>
      </c>
      <c r="H6" t="s">
        <v>102</v>
      </c>
      <c r="I6">
        <v>5</v>
      </c>
      <c r="L6" t="s">
        <v>88</v>
      </c>
      <c r="M6" t="s">
        <v>164</v>
      </c>
      <c r="N6">
        <v>19</v>
      </c>
      <c r="P6" t="s">
        <v>100</v>
      </c>
      <c r="Q6" t="s">
        <v>139</v>
      </c>
      <c r="R6">
        <v>48</v>
      </c>
      <c r="T6" t="s">
        <v>104</v>
      </c>
      <c r="U6" t="s">
        <v>105</v>
      </c>
      <c r="V6">
        <v>187</v>
      </c>
      <c r="X6" s="2" t="s">
        <v>85</v>
      </c>
      <c r="Y6" s="3" t="s">
        <v>104</v>
      </c>
      <c r="Z6" s="29">
        <f>SUM(Z2:Z5)</f>
        <v>921</v>
      </c>
      <c r="AB6" s="23" t="s">
        <v>100</v>
      </c>
      <c r="AC6" s="24" t="s">
        <v>139</v>
      </c>
      <c r="AD6" s="25">
        <v>51</v>
      </c>
      <c r="AF6" s="23" t="s">
        <v>88</v>
      </c>
      <c r="AG6" s="24" t="s">
        <v>140</v>
      </c>
      <c r="AH6" s="25">
        <v>27</v>
      </c>
      <c r="AJ6" s="7"/>
      <c r="AK6" s="7"/>
    </row>
    <row r="7" spans="1:37" x14ac:dyDescent="0.2">
      <c r="B7" t="s">
        <v>104</v>
      </c>
      <c r="C7" t="s">
        <v>106</v>
      </c>
      <c r="D7">
        <v>21</v>
      </c>
      <c r="G7" t="s">
        <v>100</v>
      </c>
      <c r="H7" t="s">
        <v>134</v>
      </c>
      <c r="I7">
        <v>4</v>
      </c>
      <c r="L7" t="s">
        <v>88</v>
      </c>
      <c r="M7" t="s">
        <v>140</v>
      </c>
      <c r="N7">
        <v>19</v>
      </c>
      <c r="P7" t="s">
        <v>100</v>
      </c>
      <c r="Q7" t="s">
        <v>137</v>
      </c>
      <c r="R7">
        <v>32</v>
      </c>
      <c r="T7" t="s">
        <v>104</v>
      </c>
      <c r="U7" t="s">
        <v>105</v>
      </c>
      <c r="V7">
        <v>87</v>
      </c>
      <c r="AB7" s="23" t="s">
        <v>100</v>
      </c>
      <c r="AC7" s="24" t="s">
        <v>103</v>
      </c>
      <c r="AD7" s="25">
        <v>37</v>
      </c>
      <c r="AF7" s="23" t="s">
        <v>88</v>
      </c>
      <c r="AG7" s="24" t="s">
        <v>157</v>
      </c>
      <c r="AH7" s="25">
        <v>26</v>
      </c>
      <c r="AJ7" s="7"/>
      <c r="AK7" s="7"/>
    </row>
    <row r="8" spans="1:37" x14ac:dyDescent="0.2">
      <c r="B8" t="s">
        <v>104</v>
      </c>
      <c r="C8" t="s">
        <v>105</v>
      </c>
      <c r="D8">
        <v>17</v>
      </c>
      <c r="G8" t="s">
        <v>100</v>
      </c>
      <c r="H8" t="s">
        <v>139</v>
      </c>
      <c r="I8">
        <v>3</v>
      </c>
      <c r="L8" t="s">
        <v>88</v>
      </c>
      <c r="M8" t="s">
        <v>189</v>
      </c>
      <c r="N8">
        <v>18</v>
      </c>
      <c r="P8" t="s">
        <v>100</v>
      </c>
      <c r="Q8" t="s">
        <v>103</v>
      </c>
      <c r="R8">
        <v>30</v>
      </c>
      <c r="T8" t="s">
        <v>104</v>
      </c>
      <c r="U8" t="s">
        <v>120</v>
      </c>
      <c r="V8">
        <v>73</v>
      </c>
      <c r="AB8" s="23" t="s">
        <v>100</v>
      </c>
      <c r="AC8" s="24" t="s">
        <v>137</v>
      </c>
      <c r="AD8" s="25">
        <v>33</v>
      </c>
      <c r="AF8" s="23" t="s">
        <v>88</v>
      </c>
      <c r="AG8" s="24" t="s">
        <v>163</v>
      </c>
      <c r="AH8" s="25">
        <v>22</v>
      </c>
      <c r="AJ8" s="7"/>
      <c r="AK8" s="7"/>
    </row>
    <row r="9" spans="1:37" x14ac:dyDescent="0.2">
      <c r="B9" t="s">
        <v>104</v>
      </c>
      <c r="C9" t="s">
        <v>120</v>
      </c>
      <c r="D9">
        <v>5</v>
      </c>
      <c r="G9" t="s">
        <v>100</v>
      </c>
      <c r="H9" t="s">
        <v>147</v>
      </c>
      <c r="I9">
        <v>3</v>
      </c>
      <c r="L9" t="s">
        <v>88</v>
      </c>
      <c r="M9" t="s">
        <v>180</v>
      </c>
      <c r="N9">
        <v>15</v>
      </c>
      <c r="P9" t="s">
        <v>100</v>
      </c>
      <c r="Q9" t="s">
        <v>146</v>
      </c>
      <c r="R9">
        <v>19</v>
      </c>
      <c r="T9" t="s">
        <v>104</v>
      </c>
      <c r="U9" t="s">
        <v>120</v>
      </c>
      <c r="V9">
        <v>41</v>
      </c>
      <c r="AB9" s="26" t="s">
        <v>100</v>
      </c>
      <c r="AC9" s="27" t="s">
        <v>146</v>
      </c>
      <c r="AD9" s="28">
        <v>20</v>
      </c>
      <c r="AF9" s="23" t="s">
        <v>88</v>
      </c>
      <c r="AG9" s="24" t="s">
        <v>164</v>
      </c>
      <c r="AH9" s="25">
        <v>21</v>
      </c>
      <c r="AJ9" s="7"/>
      <c r="AK9" s="7"/>
    </row>
    <row r="10" spans="1:37" x14ac:dyDescent="0.2">
      <c r="B10" t="s">
        <v>1</v>
      </c>
      <c r="C10" t="s">
        <v>2</v>
      </c>
      <c r="D10" t="s">
        <v>3</v>
      </c>
      <c r="G10" t="s">
        <v>100</v>
      </c>
      <c r="H10" t="s">
        <v>145</v>
      </c>
      <c r="I10">
        <v>2</v>
      </c>
      <c r="L10" t="s">
        <v>88</v>
      </c>
      <c r="M10" t="s">
        <v>95</v>
      </c>
      <c r="N10">
        <v>15</v>
      </c>
      <c r="P10" t="s">
        <v>100</v>
      </c>
      <c r="Q10" t="s">
        <v>131</v>
      </c>
      <c r="R10">
        <v>16</v>
      </c>
      <c r="AB10" s="8" t="s">
        <v>100</v>
      </c>
      <c r="AC10" s="9" t="s">
        <v>131</v>
      </c>
      <c r="AD10" s="10">
        <v>17</v>
      </c>
      <c r="AF10" s="26" t="s">
        <v>88</v>
      </c>
      <c r="AG10" s="27" t="s">
        <v>170</v>
      </c>
      <c r="AH10" s="28">
        <v>20</v>
      </c>
      <c r="AJ10" s="7"/>
      <c r="AK10" s="7"/>
    </row>
    <row r="11" spans="1:37" x14ac:dyDescent="0.2">
      <c r="B11" t="s">
        <v>88</v>
      </c>
      <c r="C11" t="s">
        <v>122</v>
      </c>
      <c r="D11">
        <v>12</v>
      </c>
      <c r="G11" t="s">
        <v>100</v>
      </c>
      <c r="H11" t="s">
        <v>119</v>
      </c>
      <c r="I11">
        <v>1</v>
      </c>
      <c r="L11" t="s">
        <v>88</v>
      </c>
      <c r="M11" t="s">
        <v>190</v>
      </c>
      <c r="N11">
        <v>14</v>
      </c>
      <c r="P11" t="s">
        <v>100</v>
      </c>
      <c r="Q11" t="s">
        <v>237</v>
      </c>
      <c r="R11">
        <v>15</v>
      </c>
      <c r="AB11" s="11" t="s">
        <v>100</v>
      </c>
      <c r="AC11" s="12" t="s">
        <v>237</v>
      </c>
      <c r="AD11" s="13">
        <v>15</v>
      </c>
      <c r="AF11" s="30" t="s">
        <v>88</v>
      </c>
      <c r="AG11" s="31" t="s">
        <v>189</v>
      </c>
      <c r="AH11" s="32">
        <v>18</v>
      </c>
    </row>
    <row r="12" spans="1:37" x14ac:dyDescent="0.2">
      <c r="B12" t="s">
        <v>88</v>
      </c>
      <c r="C12" t="s">
        <v>161</v>
      </c>
      <c r="D12">
        <v>11</v>
      </c>
      <c r="G12" t="s">
        <v>100</v>
      </c>
      <c r="H12" t="s">
        <v>131</v>
      </c>
      <c r="I12">
        <v>1</v>
      </c>
      <c r="L12" t="s">
        <v>88</v>
      </c>
      <c r="M12" t="s">
        <v>110</v>
      </c>
      <c r="N12">
        <v>14</v>
      </c>
      <c r="P12" t="s">
        <v>100</v>
      </c>
      <c r="Q12" t="s">
        <v>238</v>
      </c>
      <c r="R12">
        <v>6</v>
      </c>
      <c r="AB12" s="14" t="s">
        <v>100</v>
      </c>
      <c r="AC12" s="15" t="s">
        <v>238</v>
      </c>
      <c r="AD12" s="16">
        <v>6</v>
      </c>
      <c r="AF12" s="14" t="s">
        <v>88</v>
      </c>
      <c r="AG12" s="15" t="s">
        <v>92</v>
      </c>
      <c r="AH12" s="16">
        <v>18</v>
      </c>
    </row>
    <row r="13" spans="1:37" x14ac:dyDescent="0.2">
      <c r="B13" t="s">
        <v>88</v>
      </c>
      <c r="C13" t="s">
        <v>93</v>
      </c>
      <c r="D13">
        <v>8</v>
      </c>
      <c r="G13" t="s">
        <v>100</v>
      </c>
      <c r="H13" t="s">
        <v>137</v>
      </c>
      <c r="I13">
        <v>1</v>
      </c>
      <c r="L13" t="s">
        <v>88</v>
      </c>
      <c r="M13" t="s">
        <v>141</v>
      </c>
      <c r="N13">
        <v>14</v>
      </c>
      <c r="P13" t="s">
        <v>100</v>
      </c>
      <c r="Q13" t="s">
        <v>239</v>
      </c>
      <c r="R13">
        <v>2</v>
      </c>
      <c r="AB13" s="14" t="s">
        <v>100</v>
      </c>
      <c r="AC13" s="15" t="s">
        <v>101</v>
      </c>
      <c r="AD13" s="16">
        <v>6</v>
      </c>
      <c r="AF13" s="14" t="s">
        <v>88</v>
      </c>
      <c r="AG13" s="15" t="s">
        <v>110</v>
      </c>
      <c r="AH13" s="16">
        <v>16</v>
      </c>
    </row>
    <row r="14" spans="1:37" x14ac:dyDescent="0.2">
      <c r="B14" t="s">
        <v>88</v>
      </c>
      <c r="C14" t="s">
        <v>112</v>
      </c>
      <c r="D14">
        <v>4</v>
      </c>
      <c r="G14" t="s">
        <v>100</v>
      </c>
      <c r="H14" t="s">
        <v>146</v>
      </c>
      <c r="I14">
        <v>1</v>
      </c>
      <c r="L14" t="s">
        <v>88</v>
      </c>
      <c r="M14" t="s">
        <v>179</v>
      </c>
      <c r="N14">
        <v>14</v>
      </c>
      <c r="P14" t="s">
        <v>100</v>
      </c>
      <c r="Q14" t="s">
        <v>119</v>
      </c>
      <c r="R14">
        <v>2</v>
      </c>
      <c r="T14" s="6"/>
      <c r="U14" s="6"/>
      <c r="V14" s="6"/>
      <c r="AB14" s="14" t="s">
        <v>100</v>
      </c>
      <c r="AC14" s="15" t="s">
        <v>102</v>
      </c>
      <c r="AD14" s="16">
        <v>5</v>
      </c>
      <c r="AF14" s="14" t="s">
        <v>88</v>
      </c>
      <c r="AG14" s="15" t="s">
        <v>114</v>
      </c>
      <c r="AH14" s="16">
        <v>16</v>
      </c>
    </row>
    <row r="15" spans="1:37" x14ac:dyDescent="0.2">
      <c r="B15" t="s">
        <v>88</v>
      </c>
      <c r="C15" t="s">
        <v>181</v>
      </c>
      <c r="D15">
        <v>4</v>
      </c>
      <c r="G15" t="s">
        <v>100</v>
      </c>
      <c r="H15" t="s">
        <v>148</v>
      </c>
      <c r="I15">
        <v>1</v>
      </c>
      <c r="L15" t="s">
        <v>88</v>
      </c>
      <c r="M15" t="s">
        <v>130</v>
      </c>
      <c r="N15">
        <v>13</v>
      </c>
      <c r="P15" t="s">
        <v>100</v>
      </c>
      <c r="Q15" t="s">
        <v>240</v>
      </c>
      <c r="R15">
        <v>2</v>
      </c>
      <c r="T15" s="6"/>
      <c r="U15" s="6"/>
      <c r="V15" s="6"/>
      <c r="AB15" s="14" t="s">
        <v>100</v>
      </c>
      <c r="AC15" s="15" t="s">
        <v>147</v>
      </c>
      <c r="AD15" s="16">
        <v>4</v>
      </c>
      <c r="AF15" s="14" t="s">
        <v>88</v>
      </c>
      <c r="AG15" s="15" t="s">
        <v>180</v>
      </c>
      <c r="AH15" s="16">
        <v>15</v>
      </c>
    </row>
    <row r="16" spans="1:37" x14ac:dyDescent="0.2">
      <c r="B16" t="s">
        <v>88</v>
      </c>
      <c r="C16" t="s">
        <v>133</v>
      </c>
      <c r="D16">
        <v>4</v>
      </c>
      <c r="G16" t="s">
        <v>1</v>
      </c>
      <c r="H16" t="s">
        <v>2</v>
      </c>
      <c r="I16" t="s">
        <v>3</v>
      </c>
      <c r="L16" t="s">
        <v>88</v>
      </c>
      <c r="M16" t="s">
        <v>133</v>
      </c>
      <c r="N16">
        <v>13</v>
      </c>
      <c r="P16" t="s">
        <v>100</v>
      </c>
      <c r="Q16" t="s">
        <v>147</v>
      </c>
      <c r="R16">
        <v>1</v>
      </c>
      <c r="T16" s="6"/>
      <c r="U16" s="6"/>
      <c r="V16" s="6"/>
      <c r="AB16" s="14" t="s">
        <v>100</v>
      </c>
      <c r="AC16" s="15" t="s">
        <v>119</v>
      </c>
      <c r="AD16" s="16">
        <v>3</v>
      </c>
      <c r="AF16" s="14" t="s">
        <v>88</v>
      </c>
      <c r="AG16" s="15" t="s">
        <v>141</v>
      </c>
      <c r="AH16" s="16">
        <v>15</v>
      </c>
    </row>
    <row r="17" spans="2:34" x14ac:dyDescent="0.2">
      <c r="B17" t="s">
        <v>88</v>
      </c>
      <c r="C17" t="s">
        <v>123</v>
      </c>
      <c r="D17">
        <v>4</v>
      </c>
      <c r="G17" t="s">
        <v>104</v>
      </c>
      <c r="H17" t="s">
        <v>106</v>
      </c>
      <c r="I17">
        <v>102</v>
      </c>
      <c r="L17" t="s">
        <v>88</v>
      </c>
      <c r="M17" t="s">
        <v>122</v>
      </c>
      <c r="N17">
        <v>12</v>
      </c>
      <c r="P17" t="s">
        <v>100</v>
      </c>
      <c r="Q17" t="s">
        <v>241</v>
      </c>
      <c r="R17">
        <v>1</v>
      </c>
      <c r="T17" s="6"/>
      <c r="U17" s="6"/>
      <c r="V17" s="6"/>
      <c r="AB17" s="14" t="s">
        <v>100</v>
      </c>
      <c r="AC17" s="15" t="s">
        <v>239</v>
      </c>
      <c r="AD17" s="16">
        <v>2</v>
      </c>
      <c r="AF17" s="14" t="s">
        <v>88</v>
      </c>
      <c r="AG17" s="15" t="s">
        <v>179</v>
      </c>
      <c r="AH17" s="16">
        <v>15</v>
      </c>
    </row>
    <row r="18" spans="2:34" x14ac:dyDescent="0.2">
      <c r="B18" t="s">
        <v>88</v>
      </c>
      <c r="C18" t="s">
        <v>165</v>
      </c>
      <c r="D18">
        <v>3</v>
      </c>
      <c r="G18" t="s">
        <v>104</v>
      </c>
      <c r="H18" t="s">
        <v>105</v>
      </c>
      <c r="I18">
        <v>87</v>
      </c>
      <c r="L18" t="s">
        <v>88</v>
      </c>
      <c r="M18" t="s">
        <v>191</v>
      </c>
      <c r="N18">
        <v>12</v>
      </c>
      <c r="P18" t="s">
        <v>100</v>
      </c>
      <c r="Q18" t="s">
        <v>242</v>
      </c>
      <c r="R18">
        <v>1</v>
      </c>
      <c r="T18" s="6"/>
      <c r="U18" s="6"/>
      <c r="V18" s="6"/>
      <c r="AB18" s="14" t="s">
        <v>100</v>
      </c>
      <c r="AC18" s="15" t="s">
        <v>240</v>
      </c>
      <c r="AD18" s="16">
        <v>2</v>
      </c>
      <c r="AF18" s="14" t="s">
        <v>88</v>
      </c>
      <c r="AG18" s="15" t="s">
        <v>133</v>
      </c>
      <c r="AH18" s="16">
        <v>15</v>
      </c>
    </row>
    <row r="19" spans="2:34" x14ac:dyDescent="0.2">
      <c r="B19" t="s">
        <v>88</v>
      </c>
      <c r="C19" t="s">
        <v>180</v>
      </c>
      <c r="D19">
        <v>3</v>
      </c>
      <c r="G19" t="s">
        <v>104</v>
      </c>
      <c r="H19" t="s">
        <v>107</v>
      </c>
      <c r="I19">
        <v>78</v>
      </c>
      <c r="L19" t="s">
        <v>88</v>
      </c>
      <c r="M19" t="s">
        <v>92</v>
      </c>
      <c r="N19">
        <v>12</v>
      </c>
      <c r="P19" t="s">
        <v>100</v>
      </c>
      <c r="Q19" t="s">
        <v>243</v>
      </c>
      <c r="R19">
        <v>1</v>
      </c>
      <c r="AB19" s="14" t="s">
        <v>100</v>
      </c>
      <c r="AC19" s="15" t="s">
        <v>241</v>
      </c>
      <c r="AD19" s="16">
        <v>1</v>
      </c>
      <c r="AF19" s="14" t="s">
        <v>88</v>
      </c>
      <c r="AG19" s="15" t="s">
        <v>176</v>
      </c>
      <c r="AH19" s="16">
        <v>15</v>
      </c>
    </row>
    <row r="20" spans="2:34" x14ac:dyDescent="0.2">
      <c r="B20" t="s">
        <v>88</v>
      </c>
      <c r="C20" t="s">
        <v>144</v>
      </c>
      <c r="D20">
        <v>3</v>
      </c>
      <c r="G20" t="s">
        <v>104</v>
      </c>
      <c r="H20" t="s">
        <v>120</v>
      </c>
      <c r="I20">
        <v>41</v>
      </c>
      <c r="L20" t="s">
        <v>88</v>
      </c>
      <c r="M20" t="s">
        <v>114</v>
      </c>
      <c r="N20">
        <v>12</v>
      </c>
      <c r="P20" t="s">
        <v>100</v>
      </c>
      <c r="Q20" t="s">
        <v>244</v>
      </c>
      <c r="R20">
        <v>1</v>
      </c>
      <c r="AB20" s="14" t="s">
        <v>100</v>
      </c>
      <c r="AC20" s="15" t="s">
        <v>242</v>
      </c>
      <c r="AD20" s="16">
        <v>1</v>
      </c>
      <c r="AF20" s="14" t="s">
        <v>88</v>
      </c>
      <c r="AG20" s="15" t="s">
        <v>151</v>
      </c>
      <c r="AH20" s="16">
        <v>15</v>
      </c>
    </row>
    <row r="21" spans="2:34" x14ac:dyDescent="0.2">
      <c r="B21" t="s">
        <v>88</v>
      </c>
      <c r="C21" t="s">
        <v>98</v>
      </c>
      <c r="D21">
        <v>3</v>
      </c>
      <c r="G21" t="s">
        <v>1</v>
      </c>
      <c r="H21" t="s">
        <v>2</v>
      </c>
      <c r="I21" t="s">
        <v>3</v>
      </c>
      <c r="L21" t="s">
        <v>88</v>
      </c>
      <c r="M21" t="s">
        <v>132</v>
      </c>
      <c r="N21">
        <v>12</v>
      </c>
      <c r="P21" t="s">
        <v>100</v>
      </c>
      <c r="Q21" t="s">
        <v>125</v>
      </c>
      <c r="R21">
        <v>31</v>
      </c>
      <c r="AB21" s="14" t="s">
        <v>100</v>
      </c>
      <c r="AC21" s="15" t="s">
        <v>243</v>
      </c>
      <c r="AD21" s="16">
        <v>1</v>
      </c>
      <c r="AF21" s="14" t="s">
        <v>88</v>
      </c>
      <c r="AG21" s="15" t="s">
        <v>190</v>
      </c>
      <c r="AH21" s="16">
        <v>14</v>
      </c>
    </row>
    <row r="22" spans="2:34" x14ac:dyDescent="0.2">
      <c r="B22" t="s">
        <v>88</v>
      </c>
      <c r="C22" t="s">
        <v>140</v>
      </c>
      <c r="D22">
        <v>2</v>
      </c>
      <c r="G22" t="s">
        <v>88</v>
      </c>
      <c r="H22" t="s">
        <v>150</v>
      </c>
      <c r="I22">
        <v>38</v>
      </c>
      <c r="L22" t="s">
        <v>88</v>
      </c>
      <c r="M22" t="s">
        <v>135</v>
      </c>
      <c r="N22">
        <v>11</v>
      </c>
      <c r="P22" t="s">
        <v>100</v>
      </c>
      <c r="Q22" t="s">
        <v>103</v>
      </c>
      <c r="R22">
        <v>7</v>
      </c>
      <c r="AB22" s="14" t="s">
        <v>100</v>
      </c>
      <c r="AC22" s="15" t="s">
        <v>244</v>
      </c>
      <c r="AD22" s="16">
        <v>1</v>
      </c>
      <c r="AF22" s="14" t="s">
        <v>88</v>
      </c>
      <c r="AG22" s="15" t="s">
        <v>130</v>
      </c>
      <c r="AH22" s="16">
        <v>14</v>
      </c>
    </row>
    <row r="23" spans="2:34" x14ac:dyDescent="0.2">
      <c r="B23" t="s">
        <v>88</v>
      </c>
      <c r="C23" t="s">
        <v>97</v>
      </c>
      <c r="D23">
        <v>2</v>
      </c>
      <c r="G23" t="s">
        <v>88</v>
      </c>
      <c r="H23" t="s">
        <v>170</v>
      </c>
      <c r="I23">
        <v>17</v>
      </c>
      <c r="L23" t="s">
        <v>88</v>
      </c>
      <c r="M23" t="s">
        <v>192</v>
      </c>
      <c r="N23">
        <v>11</v>
      </c>
      <c r="P23" t="s">
        <v>100</v>
      </c>
      <c r="Q23" t="s">
        <v>101</v>
      </c>
      <c r="R23">
        <v>6</v>
      </c>
      <c r="AB23" s="17" t="s">
        <v>100</v>
      </c>
      <c r="AC23" s="18" t="s">
        <v>148</v>
      </c>
      <c r="AD23" s="19">
        <v>1</v>
      </c>
      <c r="AF23" s="14" t="s">
        <v>88</v>
      </c>
      <c r="AG23" s="15" t="s">
        <v>132</v>
      </c>
      <c r="AH23" s="16">
        <v>14</v>
      </c>
    </row>
    <row r="24" spans="2:34" x14ac:dyDescent="0.2">
      <c r="B24" t="s">
        <v>88</v>
      </c>
      <c r="C24" t="s">
        <v>176</v>
      </c>
      <c r="D24">
        <v>2</v>
      </c>
      <c r="G24" t="s">
        <v>88</v>
      </c>
      <c r="H24" t="s">
        <v>95</v>
      </c>
      <c r="I24">
        <v>15</v>
      </c>
      <c r="L24" t="s">
        <v>88</v>
      </c>
      <c r="M24" t="s">
        <v>193</v>
      </c>
      <c r="N24">
        <v>11</v>
      </c>
      <c r="P24" t="s">
        <v>100</v>
      </c>
      <c r="Q24" t="s">
        <v>124</v>
      </c>
      <c r="R24">
        <v>6</v>
      </c>
      <c r="AB24" s="2" t="s">
        <v>246</v>
      </c>
      <c r="AC24" s="3" t="s">
        <v>100</v>
      </c>
      <c r="AD24" s="29">
        <f>SUM(AD10:AD23)</f>
        <v>65</v>
      </c>
      <c r="AF24" s="14" t="s">
        <v>88</v>
      </c>
      <c r="AG24" s="15" t="s">
        <v>122</v>
      </c>
      <c r="AH24" s="16">
        <v>13</v>
      </c>
    </row>
    <row r="25" spans="2:34" x14ac:dyDescent="0.2">
      <c r="B25" t="s">
        <v>88</v>
      </c>
      <c r="C25" t="s">
        <v>114</v>
      </c>
      <c r="D25">
        <v>2</v>
      </c>
      <c r="G25" t="s">
        <v>88</v>
      </c>
      <c r="H25" t="s">
        <v>151</v>
      </c>
      <c r="I25">
        <v>15</v>
      </c>
      <c r="L25" t="s">
        <v>88</v>
      </c>
      <c r="M25" t="s">
        <v>194</v>
      </c>
      <c r="N25">
        <v>9</v>
      </c>
      <c r="P25" t="s">
        <v>100</v>
      </c>
      <c r="Q25" t="s">
        <v>102</v>
      </c>
      <c r="R25">
        <v>5</v>
      </c>
      <c r="AB25" s="33" t="s">
        <v>85</v>
      </c>
      <c r="AC25" s="34" t="s">
        <v>100</v>
      </c>
      <c r="AD25" s="29">
        <f>SUM(AD2:AD23)</f>
        <v>595</v>
      </c>
      <c r="AF25" s="14" t="s">
        <v>88</v>
      </c>
      <c r="AG25" s="15" t="s">
        <v>94</v>
      </c>
      <c r="AH25" s="16">
        <v>13</v>
      </c>
    </row>
    <row r="26" spans="2:34" x14ac:dyDescent="0.2">
      <c r="B26" t="s">
        <v>88</v>
      </c>
      <c r="C26" t="s">
        <v>115</v>
      </c>
      <c r="D26">
        <v>2</v>
      </c>
      <c r="G26" t="s">
        <v>88</v>
      </c>
      <c r="H26" t="s">
        <v>121</v>
      </c>
      <c r="I26">
        <v>11</v>
      </c>
      <c r="L26" t="s">
        <v>88</v>
      </c>
      <c r="M26" t="s">
        <v>144</v>
      </c>
      <c r="N26">
        <v>9</v>
      </c>
      <c r="P26" t="s">
        <v>100</v>
      </c>
      <c r="Q26" t="s">
        <v>134</v>
      </c>
      <c r="R26">
        <v>4</v>
      </c>
      <c r="AF26" s="14" t="s">
        <v>88</v>
      </c>
      <c r="AG26" s="15" t="s">
        <v>191</v>
      </c>
      <c r="AH26" s="16">
        <v>12</v>
      </c>
    </row>
    <row r="27" spans="2:34" x14ac:dyDescent="0.2">
      <c r="B27" t="s">
        <v>88</v>
      </c>
      <c r="C27" t="s">
        <v>121</v>
      </c>
      <c r="D27">
        <v>2</v>
      </c>
      <c r="G27" t="s">
        <v>88</v>
      </c>
      <c r="H27" t="s">
        <v>126</v>
      </c>
      <c r="I27">
        <v>11</v>
      </c>
      <c r="L27" t="s">
        <v>88</v>
      </c>
      <c r="M27" t="s">
        <v>176</v>
      </c>
      <c r="N27">
        <v>9</v>
      </c>
      <c r="P27" t="s">
        <v>100</v>
      </c>
      <c r="Q27" t="s">
        <v>139</v>
      </c>
      <c r="R27">
        <v>3</v>
      </c>
      <c r="AF27" s="14" t="s">
        <v>88</v>
      </c>
      <c r="AG27" s="15" t="s">
        <v>135</v>
      </c>
      <c r="AH27" s="16">
        <v>12</v>
      </c>
    </row>
    <row r="28" spans="2:34" x14ac:dyDescent="0.2">
      <c r="B28" t="s">
        <v>88</v>
      </c>
      <c r="C28" t="s">
        <v>174</v>
      </c>
      <c r="D28">
        <v>2</v>
      </c>
      <c r="G28" t="s">
        <v>88</v>
      </c>
      <c r="H28" t="s">
        <v>168</v>
      </c>
      <c r="I28">
        <v>9</v>
      </c>
      <c r="L28" t="s">
        <v>88</v>
      </c>
      <c r="M28" t="s">
        <v>195</v>
      </c>
      <c r="N28">
        <v>8</v>
      </c>
      <c r="P28" t="s">
        <v>100</v>
      </c>
      <c r="Q28" t="s">
        <v>147</v>
      </c>
      <c r="R28">
        <v>3</v>
      </c>
      <c r="AF28" s="14" t="s">
        <v>88</v>
      </c>
      <c r="AG28" s="15" t="s">
        <v>89</v>
      </c>
      <c r="AH28" s="16">
        <v>12</v>
      </c>
    </row>
    <row r="29" spans="2:34" x14ac:dyDescent="0.2">
      <c r="B29" t="s">
        <v>88</v>
      </c>
      <c r="C29" t="s">
        <v>92</v>
      </c>
      <c r="D29">
        <v>2</v>
      </c>
      <c r="G29" t="s">
        <v>88</v>
      </c>
      <c r="H29" t="s">
        <v>140</v>
      </c>
      <c r="I29">
        <v>8</v>
      </c>
      <c r="L29" t="s">
        <v>88</v>
      </c>
      <c r="M29" t="s">
        <v>196</v>
      </c>
      <c r="N29">
        <v>8</v>
      </c>
      <c r="P29" t="s">
        <v>100</v>
      </c>
      <c r="Q29" t="s">
        <v>145</v>
      </c>
      <c r="R29">
        <v>2</v>
      </c>
      <c r="AF29" s="14" t="s">
        <v>88</v>
      </c>
      <c r="AG29" s="15" t="s">
        <v>168</v>
      </c>
      <c r="AH29" s="16">
        <v>12</v>
      </c>
    </row>
    <row r="30" spans="2:34" x14ac:dyDescent="0.2">
      <c r="B30" t="s">
        <v>88</v>
      </c>
      <c r="C30" t="s">
        <v>90</v>
      </c>
      <c r="D30">
        <v>2</v>
      </c>
      <c r="G30" t="s">
        <v>88</v>
      </c>
      <c r="H30" t="s">
        <v>89</v>
      </c>
      <c r="I30">
        <v>7</v>
      </c>
      <c r="L30" t="s">
        <v>88</v>
      </c>
      <c r="M30" t="s">
        <v>111</v>
      </c>
      <c r="N30">
        <v>8</v>
      </c>
      <c r="P30" t="s">
        <v>100</v>
      </c>
      <c r="Q30" t="s">
        <v>119</v>
      </c>
      <c r="R30">
        <v>1</v>
      </c>
      <c r="AF30" s="14" t="s">
        <v>88</v>
      </c>
      <c r="AG30" s="15" t="s">
        <v>192</v>
      </c>
      <c r="AH30" s="16">
        <v>11</v>
      </c>
    </row>
    <row r="31" spans="2:34" x14ac:dyDescent="0.2">
      <c r="B31" t="s">
        <v>88</v>
      </c>
      <c r="C31" t="s">
        <v>175</v>
      </c>
      <c r="D31">
        <v>2</v>
      </c>
      <c r="G31" t="s">
        <v>88</v>
      </c>
      <c r="H31" t="s">
        <v>94</v>
      </c>
      <c r="I31">
        <v>7</v>
      </c>
      <c r="L31" t="s">
        <v>88</v>
      </c>
      <c r="M31" t="s">
        <v>90</v>
      </c>
      <c r="N31">
        <v>7</v>
      </c>
      <c r="P31" t="s">
        <v>100</v>
      </c>
      <c r="Q31" t="s">
        <v>131</v>
      </c>
      <c r="R31">
        <v>1</v>
      </c>
      <c r="AF31" s="14" t="s">
        <v>88</v>
      </c>
      <c r="AG31" s="15" t="s">
        <v>193</v>
      </c>
      <c r="AH31" s="16">
        <v>11</v>
      </c>
    </row>
    <row r="32" spans="2:34" x14ac:dyDescent="0.2">
      <c r="B32" t="s">
        <v>88</v>
      </c>
      <c r="C32" t="s">
        <v>163</v>
      </c>
      <c r="D32">
        <v>2</v>
      </c>
      <c r="G32" t="s">
        <v>88</v>
      </c>
      <c r="H32" t="s">
        <v>117</v>
      </c>
      <c r="I32">
        <v>7</v>
      </c>
      <c r="L32" t="s">
        <v>88</v>
      </c>
      <c r="M32" t="s">
        <v>197</v>
      </c>
      <c r="N32">
        <v>7</v>
      </c>
      <c r="P32" t="s">
        <v>100</v>
      </c>
      <c r="Q32" t="s">
        <v>137</v>
      </c>
      <c r="R32">
        <v>1</v>
      </c>
      <c r="AF32" s="14" t="s">
        <v>88</v>
      </c>
      <c r="AG32" s="15" t="s">
        <v>144</v>
      </c>
      <c r="AH32" s="16">
        <v>11</v>
      </c>
    </row>
    <row r="33" spans="2:34" x14ac:dyDescent="0.2">
      <c r="B33" t="s">
        <v>88</v>
      </c>
      <c r="C33" t="s">
        <v>169</v>
      </c>
      <c r="D33">
        <v>1</v>
      </c>
      <c r="G33" t="s">
        <v>88</v>
      </c>
      <c r="H33" t="s">
        <v>162</v>
      </c>
      <c r="I33">
        <v>7</v>
      </c>
      <c r="L33" t="s">
        <v>88</v>
      </c>
      <c r="M33" t="s">
        <v>198</v>
      </c>
      <c r="N33">
        <v>7</v>
      </c>
      <c r="P33" t="s">
        <v>100</v>
      </c>
      <c r="Q33" t="s">
        <v>146</v>
      </c>
      <c r="R33">
        <v>1</v>
      </c>
      <c r="AF33" s="14" t="s">
        <v>88</v>
      </c>
      <c r="AG33" s="15" t="s">
        <v>90</v>
      </c>
      <c r="AH33" s="16">
        <v>11</v>
      </c>
    </row>
    <row r="34" spans="2:34" x14ac:dyDescent="0.2">
      <c r="B34" t="s">
        <v>88</v>
      </c>
      <c r="C34" t="s">
        <v>182</v>
      </c>
      <c r="D34">
        <v>1</v>
      </c>
      <c r="G34" t="s">
        <v>88</v>
      </c>
      <c r="H34" t="s">
        <v>92</v>
      </c>
      <c r="I34">
        <v>6</v>
      </c>
      <c r="L34" t="s">
        <v>88</v>
      </c>
      <c r="M34" t="s">
        <v>199</v>
      </c>
      <c r="N34">
        <v>7</v>
      </c>
      <c r="P34" t="s">
        <v>100</v>
      </c>
      <c r="Q34" t="s">
        <v>148</v>
      </c>
      <c r="R34">
        <v>1</v>
      </c>
      <c r="AF34" s="14" t="s">
        <v>88</v>
      </c>
      <c r="AG34" s="15" t="s">
        <v>121</v>
      </c>
      <c r="AH34" s="16">
        <v>11</v>
      </c>
    </row>
    <row r="35" spans="2:34" x14ac:dyDescent="0.2">
      <c r="B35" t="s">
        <v>88</v>
      </c>
      <c r="C35" t="s">
        <v>89</v>
      </c>
      <c r="D35">
        <v>1</v>
      </c>
      <c r="G35" t="s">
        <v>88</v>
      </c>
      <c r="H35" t="s">
        <v>108</v>
      </c>
      <c r="I35">
        <v>6</v>
      </c>
      <c r="L35" t="s">
        <v>88</v>
      </c>
      <c r="M35" t="s">
        <v>94</v>
      </c>
      <c r="N35">
        <v>6</v>
      </c>
      <c r="AF35" s="14" t="s">
        <v>88</v>
      </c>
      <c r="AG35" s="15" t="s">
        <v>126</v>
      </c>
      <c r="AH35" s="16">
        <v>11</v>
      </c>
    </row>
    <row r="36" spans="2:34" x14ac:dyDescent="0.2">
      <c r="B36" t="s">
        <v>88</v>
      </c>
      <c r="C36" t="s">
        <v>142</v>
      </c>
      <c r="D36">
        <v>1</v>
      </c>
      <c r="G36" t="s">
        <v>88</v>
      </c>
      <c r="H36" t="s">
        <v>129</v>
      </c>
      <c r="I36">
        <v>6</v>
      </c>
      <c r="L36" t="s">
        <v>88</v>
      </c>
      <c r="M36" t="s">
        <v>98</v>
      </c>
      <c r="N36">
        <v>6</v>
      </c>
      <c r="AF36" s="14" t="s">
        <v>88</v>
      </c>
      <c r="AG36" s="15" t="s">
        <v>98</v>
      </c>
      <c r="AH36" s="16">
        <v>10</v>
      </c>
    </row>
    <row r="37" spans="2:34" x14ac:dyDescent="0.2">
      <c r="B37" t="s">
        <v>88</v>
      </c>
      <c r="C37" t="s">
        <v>172</v>
      </c>
      <c r="D37">
        <v>1</v>
      </c>
      <c r="G37" t="s">
        <v>88</v>
      </c>
      <c r="H37" t="s">
        <v>172</v>
      </c>
      <c r="I37">
        <v>6</v>
      </c>
      <c r="L37" t="s">
        <v>88</v>
      </c>
      <c r="M37" t="s">
        <v>159</v>
      </c>
      <c r="N37">
        <v>6</v>
      </c>
      <c r="AF37" s="14" t="s">
        <v>88</v>
      </c>
      <c r="AG37" s="15" t="s">
        <v>109</v>
      </c>
      <c r="AH37" s="16">
        <v>10</v>
      </c>
    </row>
    <row r="38" spans="2:34" x14ac:dyDescent="0.2">
      <c r="B38" t="s">
        <v>88</v>
      </c>
      <c r="C38" t="s">
        <v>111</v>
      </c>
      <c r="D38">
        <v>1</v>
      </c>
      <c r="G38" t="s">
        <v>88</v>
      </c>
      <c r="H38" t="s">
        <v>176</v>
      </c>
      <c r="I38">
        <v>6</v>
      </c>
      <c r="L38" t="s">
        <v>88</v>
      </c>
      <c r="M38" t="s">
        <v>143</v>
      </c>
      <c r="N38">
        <v>5</v>
      </c>
      <c r="AF38" s="14" t="s">
        <v>88</v>
      </c>
      <c r="AG38" s="15" t="s">
        <v>172</v>
      </c>
      <c r="AH38" s="16">
        <v>10</v>
      </c>
    </row>
    <row r="39" spans="2:34" x14ac:dyDescent="0.2">
      <c r="G39" t="s">
        <v>88</v>
      </c>
      <c r="H39" t="s">
        <v>93</v>
      </c>
      <c r="I39">
        <v>5</v>
      </c>
      <c r="L39" t="s">
        <v>88</v>
      </c>
      <c r="M39" t="s">
        <v>109</v>
      </c>
      <c r="N39">
        <v>5</v>
      </c>
      <c r="P39" s="6"/>
      <c r="Q39" s="6"/>
      <c r="R39" s="6"/>
      <c r="AF39" s="14" t="s">
        <v>88</v>
      </c>
      <c r="AG39" s="15" t="s">
        <v>194</v>
      </c>
      <c r="AH39" s="16">
        <v>9</v>
      </c>
    </row>
    <row r="40" spans="2:34" x14ac:dyDescent="0.2">
      <c r="G40" t="s">
        <v>88</v>
      </c>
      <c r="H40" t="s">
        <v>109</v>
      </c>
      <c r="I40">
        <v>5</v>
      </c>
      <c r="L40" t="s">
        <v>88</v>
      </c>
      <c r="M40" t="s">
        <v>200</v>
      </c>
      <c r="N40">
        <v>5</v>
      </c>
      <c r="AF40" s="14" t="s">
        <v>88</v>
      </c>
      <c r="AG40" s="15" t="s">
        <v>111</v>
      </c>
      <c r="AH40" s="16">
        <v>9</v>
      </c>
    </row>
    <row r="41" spans="2:34" x14ac:dyDescent="0.2">
      <c r="G41" t="s">
        <v>88</v>
      </c>
      <c r="H41" t="s">
        <v>90</v>
      </c>
      <c r="I41">
        <v>4</v>
      </c>
      <c r="L41" t="s">
        <v>88</v>
      </c>
      <c r="M41" t="s">
        <v>201</v>
      </c>
      <c r="N41">
        <v>5</v>
      </c>
      <c r="AF41" s="14" t="s">
        <v>88</v>
      </c>
      <c r="AG41" s="15" t="s">
        <v>117</v>
      </c>
      <c r="AH41" s="16">
        <v>9</v>
      </c>
    </row>
    <row r="42" spans="2:34" x14ac:dyDescent="0.2">
      <c r="G42" t="s">
        <v>88</v>
      </c>
      <c r="H42" t="s">
        <v>98</v>
      </c>
      <c r="I42">
        <v>4</v>
      </c>
      <c r="L42" t="s">
        <v>88</v>
      </c>
      <c r="M42" t="s">
        <v>202</v>
      </c>
      <c r="N42">
        <v>5</v>
      </c>
      <c r="AF42" s="14" t="s">
        <v>88</v>
      </c>
      <c r="AG42" s="15" t="s">
        <v>195</v>
      </c>
      <c r="AH42" s="16">
        <v>8</v>
      </c>
    </row>
    <row r="43" spans="2:34" x14ac:dyDescent="0.2">
      <c r="G43" t="s">
        <v>88</v>
      </c>
      <c r="H43" t="s">
        <v>99</v>
      </c>
      <c r="I43">
        <v>4</v>
      </c>
      <c r="L43" t="s">
        <v>88</v>
      </c>
      <c r="M43" t="s">
        <v>203</v>
      </c>
      <c r="N43">
        <v>5</v>
      </c>
      <c r="AF43" s="14" t="s">
        <v>88</v>
      </c>
      <c r="AG43" s="15" t="s">
        <v>196</v>
      </c>
      <c r="AH43" s="16">
        <v>8</v>
      </c>
    </row>
    <row r="44" spans="2:34" x14ac:dyDescent="0.2">
      <c r="G44" t="s">
        <v>88</v>
      </c>
      <c r="H44" t="s">
        <v>114</v>
      </c>
      <c r="I44">
        <v>4</v>
      </c>
      <c r="L44" t="s">
        <v>88</v>
      </c>
      <c r="M44" t="s">
        <v>174</v>
      </c>
      <c r="N44">
        <v>5</v>
      </c>
      <c r="AF44" s="14" t="s">
        <v>88</v>
      </c>
      <c r="AG44" s="15" t="s">
        <v>197</v>
      </c>
      <c r="AH44" s="16">
        <v>7</v>
      </c>
    </row>
    <row r="45" spans="2:34" x14ac:dyDescent="0.2">
      <c r="G45" t="s">
        <v>88</v>
      </c>
      <c r="H45" t="s">
        <v>160</v>
      </c>
      <c r="I45">
        <v>4</v>
      </c>
      <c r="L45" t="s">
        <v>88</v>
      </c>
      <c r="M45" t="s">
        <v>89</v>
      </c>
      <c r="N45">
        <v>5</v>
      </c>
      <c r="AF45" s="14" t="s">
        <v>88</v>
      </c>
      <c r="AG45" s="15" t="s">
        <v>198</v>
      </c>
      <c r="AH45" s="16">
        <v>7</v>
      </c>
    </row>
    <row r="46" spans="2:34" x14ac:dyDescent="0.2">
      <c r="G46" t="s">
        <v>88</v>
      </c>
      <c r="H46" t="s">
        <v>161</v>
      </c>
      <c r="I46">
        <v>4</v>
      </c>
      <c r="L46" t="s">
        <v>88</v>
      </c>
      <c r="M46" t="s">
        <v>173</v>
      </c>
      <c r="N46">
        <v>5</v>
      </c>
      <c r="AF46" s="14" t="s">
        <v>88</v>
      </c>
      <c r="AG46" s="15" t="s">
        <v>199</v>
      </c>
      <c r="AH46" s="16">
        <v>7</v>
      </c>
    </row>
    <row r="47" spans="2:34" x14ac:dyDescent="0.2">
      <c r="G47" t="s">
        <v>88</v>
      </c>
      <c r="H47" t="s">
        <v>91</v>
      </c>
      <c r="I47">
        <v>3</v>
      </c>
      <c r="L47" t="s">
        <v>88</v>
      </c>
      <c r="M47" t="s">
        <v>136</v>
      </c>
      <c r="N47">
        <v>4</v>
      </c>
      <c r="AF47" s="14" t="s">
        <v>88</v>
      </c>
      <c r="AG47" s="15" t="s">
        <v>159</v>
      </c>
      <c r="AH47" s="16">
        <v>7</v>
      </c>
    </row>
    <row r="48" spans="2:34" x14ac:dyDescent="0.2">
      <c r="G48" t="s">
        <v>88</v>
      </c>
      <c r="H48" t="s">
        <v>97</v>
      </c>
      <c r="I48">
        <v>3</v>
      </c>
      <c r="L48" t="s">
        <v>88</v>
      </c>
      <c r="M48" t="s">
        <v>204</v>
      </c>
      <c r="N48">
        <v>4</v>
      </c>
      <c r="AF48" s="14" t="s">
        <v>88</v>
      </c>
      <c r="AG48" s="15" t="s">
        <v>174</v>
      </c>
      <c r="AH48" s="16">
        <v>7</v>
      </c>
    </row>
    <row r="49" spans="7:34" x14ac:dyDescent="0.2">
      <c r="G49" t="s">
        <v>88</v>
      </c>
      <c r="H49" t="s">
        <v>113</v>
      </c>
      <c r="I49">
        <v>3</v>
      </c>
      <c r="L49" t="s">
        <v>88</v>
      </c>
      <c r="M49" t="s">
        <v>205</v>
      </c>
      <c r="N49">
        <v>4</v>
      </c>
      <c r="AF49" s="14" t="s">
        <v>88</v>
      </c>
      <c r="AG49" s="15" t="s">
        <v>161</v>
      </c>
      <c r="AH49" s="16">
        <v>7</v>
      </c>
    </row>
    <row r="50" spans="7:34" x14ac:dyDescent="0.2">
      <c r="G50" t="s">
        <v>88</v>
      </c>
      <c r="H50" t="s">
        <v>118</v>
      </c>
      <c r="I50">
        <v>3</v>
      </c>
      <c r="L50" t="s">
        <v>88</v>
      </c>
      <c r="M50" t="s">
        <v>206</v>
      </c>
      <c r="N50">
        <v>4</v>
      </c>
      <c r="AF50" s="14" t="s">
        <v>88</v>
      </c>
      <c r="AG50" s="15" t="s">
        <v>162</v>
      </c>
      <c r="AH50" s="16">
        <v>7</v>
      </c>
    </row>
    <row r="51" spans="7:34" x14ac:dyDescent="0.2">
      <c r="G51" t="s">
        <v>88</v>
      </c>
      <c r="H51" t="s">
        <v>128</v>
      </c>
      <c r="I51">
        <v>3</v>
      </c>
      <c r="L51" t="s">
        <v>88</v>
      </c>
      <c r="M51" t="s">
        <v>207</v>
      </c>
      <c r="N51">
        <v>4</v>
      </c>
      <c r="AF51" s="14" t="s">
        <v>88</v>
      </c>
      <c r="AG51" s="15" t="s">
        <v>143</v>
      </c>
      <c r="AH51" s="16">
        <v>6</v>
      </c>
    </row>
    <row r="52" spans="7:34" x14ac:dyDescent="0.2">
      <c r="G52" t="s">
        <v>88</v>
      </c>
      <c r="H52" t="s">
        <v>177</v>
      </c>
      <c r="I52">
        <v>3</v>
      </c>
      <c r="L52" t="s">
        <v>88</v>
      </c>
      <c r="M52" t="s">
        <v>172</v>
      </c>
      <c r="N52">
        <v>4</v>
      </c>
      <c r="AF52" s="14" t="s">
        <v>88</v>
      </c>
      <c r="AG52" s="15" t="s">
        <v>173</v>
      </c>
      <c r="AH52" s="16">
        <v>6</v>
      </c>
    </row>
    <row r="53" spans="7:34" x14ac:dyDescent="0.2">
      <c r="G53" t="s">
        <v>88</v>
      </c>
      <c r="H53" t="s">
        <v>110</v>
      </c>
      <c r="I53">
        <v>2</v>
      </c>
      <c r="L53" t="s">
        <v>88</v>
      </c>
      <c r="M53" t="s">
        <v>168</v>
      </c>
      <c r="N53">
        <v>3</v>
      </c>
      <c r="AF53" s="14" t="s">
        <v>88</v>
      </c>
      <c r="AG53" s="15" t="s">
        <v>136</v>
      </c>
      <c r="AH53" s="16">
        <v>6</v>
      </c>
    </row>
    <row r="54" spans="7:34" x14ac:dyDescent="0.2">
      <c r="G54" t="s">
        <v>88</v>
      </c>
      <c r="H54" t="s">
        <v>123</v>
      </c>
      <c r="I54">
        <v>2</v>
      </c>
      <c r="L54" t="s">
        <v>88</v>
      </c>
      <c r="M54" t="s">
        <v>208</v>
      </c>
      <c r="N54">
        <v>3</v>
      </c>
      <c r="AF54" s="14" t="s">
        <v>88</v>
      </c>
      <c r="AG54" s="15" t="s">
        <v>129</v>
      </c>
      <c r="AH54" s="16">
        <v>6</v>
      </c>
    </row>
    <row r="55" spans="7:34" x14ac:dyDescent="0.2">
      <c r="G55" t="s">
        <v>88</v>
      </c>
      <c r="H55" t="s">
        <v>133</v>
      </c>
      <c r="I55">
        <v>2</v>
      </c>
      <c r="L55" t="s">
        <v>88</v>
      </c>
      <c r="M55" t="s">
        <v>209</v>
      </c>
      <c r="N55">
        <v>3</v>
      </c>
      <c r="AF55" s="14" t="s">
        <v>88</v>
      </c>
      <c r="AG55" s="15" t="s">
        <v>200</v>
      </c>
      <c r="AH55" s="16">
        <v>5</v>
      </c>
    </row>
    <row r="56" spans="7:34" x14ac:dyDescent="0.2">
      <c r="G56" t="s">
        <v>88</v>
      </c>
      <c r="H56" t="s">
        <v>132</v>
      </c>
      <c r="I56">
        <v>2</v>
      </c>
      <c r="L56" t="s">
        <v>88</v>
      </c>
      <c r="M56" t="s">
        <v>210</v>
      </c>
      <c r="N56">
        <v>3</v>
      </c>
      <c r="AF56" s="14" t="s">
        <v>88</v>
      </c>
      <c r="AG56" s="15" t="s">
        <v>201</v>
      </c>
      <c r="AH56" s="16">
        <v>5</v>
      </c>
    </row>
    <row r="57" spans="7:34" x14ac:dyDescent="0.2">
      <c r="G57" t="s">
        <v>88</v>
      </c>
      <c r="H57" t="s">
        <v>136</v>
      </c>
      <c r="I57">
        <v>2</v>
      </c>
      <c r="L57" t="s">
        <v>88</v>
      </c>
      <c r="M57" t="s">
        <v>170</v>
      </c>
      <c r="N57">
        <v>3</v>
      </c>
      <c r="AF57" s="14" t="s">
        <v>88</v>
      </c>
      <c r="AG57" s="15" t="s">
        <v>202</v>
      </c>
      <c r="AH57" s="16">
        <v>5</v>
      </c>
    </row>
    <row r="58" spans="7:34" x14ac:dyDescent="0.2">
      <c r="G58" t="s">
        <v>88</v>
      </c>
      <c r="H58" t="s">
        <v>138</v>
      </c>
      <c r="I58">
        <v>2</v>
      </c>
      <c r="L58" t="s">
        <v>88</v>
      </c>
      <c r="M58" t="s">
        <v>211</v>
      </c>
      <c r="N58">
        <v>3</v>
      </c>
      <c r="AF58" s="14" t="s">
        <v>88</v>
      </c>
      <c r="AG58" s="15" t="s">
        <v>203</v>
      </c>
      <c r="AH58" s="16">
        <v>5</v>
      </c>
    </row>
    <row r="59" spans="7:34" x14ac:dyDescent="0.2">
      <c r="G59" t="s">
        <v>88</v>
      </c>
      <c r="H59" t="s">
        <v>142</v>
      </c>
      <c r="I59">
        <v>2</v>
      </c>
      <c r="L59" t="s">
        <v>88</v>
      </c>
      <c r="M59" t="s">
        <v>212</v>
      </c>
      <c r="N59">
        <v>3</v>
      </c>
      <c r="AF59" s="14" t="s">
        <v>88</v>
      </c>
      <c r="AG59" s="15" t="s">
        <v>97</v>
      </c>
      <c r="AH59" s="16">
        <v>5</v>
      </c>
    </row>
    <row r="60" spans="7:34" x14ac:dyDescent="0.2">
      <c r="G60" t="s">
        <v>88</v>
      </c>
      <c r="H60" t="s">
        <v>144</v>
      </c>
      <c r="I60">
        <v>2</v>
      </c>
      <c r="L60" t="s">
        <v>88</v>
      </c>
      <c r="M60" t="s">
        <v>161</v>
      </c>
      <c r="N60">
        <v>3</v>
      </c>
      <c r="AF60" s="14" t="s">
        <v>88</v>
      </c>
      <c r="AG60" s="15" t="s">
        <v>93</v>
      </c>
      <c r="AH60" s="16">
        <v>5</v>
      </c>
    </row>
    <row r="61" spans="7:34" x14ac:dyDescent="0.2">
      <c r="G61" t="s">
        <v>88</v>
      </c>
      <c r="H61" t="s">
        <v>152</v>
      </c>
      <c r="I61">
        <v>2</v>
      </c>
      <c r="L61" t="s">
        <v>88</v>
      </c>
      <c r="M61" t="s">
        <v>213</v>
      </c>
      <c r="N61">
        <v>3</v>
      </c>
      <c r="AF61" s="14" t="s">
        <v>88</v>
      </c>
      <c r="AG61" s="15" t="s">
        <v>204</v>
      </c>
      <c r="AH61" s="16">
        <v>4</v>
      </c>
    </row>
    <row r="62" spans="7:34" x14ac:dyDescent="0.2">
      <c r="G62" t="s">
        <v>88</v>
      </c>
      <c r="H62" t="s">
        <v>155</v>
      </c>
      <c r="I62">
        <v>2</v>
      </c>
      <c r="L62" t="s">
        <v>88</v>
      </c>
      <c r="M62" t="s">
        <v>214</v>
      </c>
      <c r="N62">
        <v>3</v>
      </c>
      <c r="AF62" s="14" t="s">
        <v>88</v>
      </c>
      <c r="AG62" s="15" t="s">
        <v>205</v>
      </c>
      <c r="AH62" s="16">
        <v>4</v>
      </c>
    </row>
    <row r="63" spans="7:34" x14ac:dyDescent="0.2">
      <c r="G63" t="s">
        <v>88</v>
      </c>
      <c r="H63" t="s">
        <v>154</v>
      </c>
      <c r="I63">
        <v>2</v>
      </c>
      <c r="L63" t="s">
        <v>88</v>
      </c>
      <c r="M63" t="s">
        <v>215</v>
      </c>
      <c r="N63">
        <v>2</v>
      </c>
      <c r="AF63" s="14" t="s">
        <v>88</v>
      </c>
      <c r="AG63" s="15" t="s">
        <v>206</v>
      </c>
      <c r="AH63" s="16">
        <v>4</v>
      </c>
    </row>
    <row r="64" spans="7:34" x14ac:dyDescent="0.2">
      <c r="G64" t="s">
        <v>88</v>
      </c>
      <c r="H64" t="s">
        <v>156</v>
      </c>
      <c r="I64">
        <v>2</v>
      </c>
      <c r="L64" t="s">
        <v>88</v>
      </c>
      <c r="M64" t="s">
        <v>167</v>
      </c>
      <c r="N64">
        <v>2</v>
      </c>
      <c r="AF64" s="14" t="s">
        <v>88</v>
      </c>
      <c r="AG64" s="15" t="s">
        <v>207</v>
      </c>
      <c r="AH64" s="16">
        <v>4</v>
      </c>
    </row>
    <row r="65" spans="7:34" x14ac:dyDescent="0.2">
      <c r="G65" t="s">
        <v>88</v>
      </c>
      <c r="H65" t="s">
        <v>163</v>
      </c>
      <c r="I65">
        <v>2</v>
      </c>
      <c r="L65" t="s">
        <v>88</v>
      </c>
      <c r="M65" t="s">
        <v>216</v>
      </c>
      <c r="N65">
        <v>2</v>
      </c>
      <c r="AF65" s="14" t="s">
        <v>88</v>
      </c>
      <c r="AG65" s="15" t="s">
        <v>91</v>
      </c>
      <c r="AH65" s="16">
        <v>4</v>
      </c>
    </row>
    <row r="66" spans="7:34" x14ac:dyDescent="0.2">
      <c r="G66" t="s">
        <v>88</v>
      </c>
      <c r="H66" t="s">
        <v>164</v>
      </c>
      <c r="I66">
        <v>2</v>
      </c>
      <c r="L66" t="s">
        <v>88</v>
      </c>
      <c r="M66" t="s">
        <v>165</v>
      </c>
      <c r="N66">
        <v>2</v>
      </c>
      <c r="AF66" s="14" t="s">
        <v>88</v>
      </c>
      <c r="AG66" s="15" t="s">
        <v>99</v>
      </c>
      <c r="AH66" s="16">
        <v>4</v>
      </c>
    </row>
    <row r="67" spans="7:34" x14ac:dyDescent="0.2">
      <c r="G67" t="s">
        <v>88</v>
      </c>
      <c r="H67" t="s">
        <v>166</v>
      </c>
      <c r="I67">
        <v>2</v>
      </c>
      <c r="L67" t="s">
        <v>88</v>
      </c>
      <c r="M67" t="s">
        <v>217</v>
      </c>
      <c r="N67">
        <v>2</v>
      </c>
      <c r="AF67" s="14" t="s">
        <v>88</v>
      </c>
      <c r="AG67" s="15" t="s">
        <v>160</v>
      </c>
      <c r="AH67" s="16">
        <v>4</v>
      </c>
    </row>
    <row r="68" spans="7:34" x14ac:dyDescent="0.2">
      <c r="G68" t="s">
        <v>88</v>
      </c>
      <c r="H68" t="s">
        <v>171</v>
      </c>
      <c r="I68">
        <v>2</v>
      </c>
      <c r="L68" t="s">
        <v>88</v>
      </c>
      <c r="M68" t="s">
        <v>218</v>
      </c>
      <c r="N68">
        <v>2</v>
      </c>
      <c r="AF68" s="14" t="s">
        <v>88</v>
      </c>
      <c r="AG68" s="15" t="s">
        <v>208</v>
      </c>
      <c r="AH68" s="16">
        <v>3</v>
      </c>
    </row>
    <row r="69" spans="7:34" x14ac:dyDescent="0.2">
      <c r="G69" t="s">
        <v>88</v>
      </c>
      <c r="H69" t="s">
        <v>174</v>
      </c>
      <c r="I69">
        <v>2</v>
      </c>
      <c r="L69" t="s">
        <v>88</v>
      </c>
      <c r="M69" t="s">
        <v>117</v>
      </c>
      <c r="N69">
        <v>2</v>
      </c>
      <c r="AF69" s="14" t="s">
        <v>88</v>
      </c>
      <c r="AG69" s="15" t="s">
        <v>209</v>
      </c>
      <c r="AH69" s="16">
        <v>3</v>
      </c>
    </row>
    <row r="70" spans="7:34" x14ac:dyDescent="0.2">
      <c r="G70" t="s">
        <v>88</v>
      </c>
      <c r="H70" t="s">
        <v>96</v>
      </c>
      <c r="I70">
        <v>1</v>
      </c>
      <c r="L70" t="s">
        <v>88</v>
      </c>
      <c r="M70" t="s">
        <v>219</v>
      </c>
      <c r="N70">
        <v>2</v>
      </c>
      <c r="AF70" s="14" t="s">
        <v>88</v>
      </c>
      <c r="AG70" s="15" t="s">
        <v>210</v>
      </c>
      <c r="AH70" s="16">
        <v>3</v>
      </c>
    </row>
    <row r="71" spans="7:34" x14ac:dyDescent="0.2">
      <c r="G71" t="s">
        <v>88</v>
      </c>
      <c r="H71" t="s">
        <v>111</v>
      </c>
      <c r="I71">
        <v>1</v>
      </c>
      <c r="L71" t="s">
        <v>88</v>
      </c>
      <c r="M71" t="s">
        <v>112</v>
      </c>
      <c r="N71">
        <v>2</v>
      </c>
      <c r="AF71" s="14" t="s">
        <v>88</v>
      </c>
      <c r="AG71" s="15" t="s">
        <v>211</v>
      </c>
      <c r="AH71" s="16">
        <v>3</v>
      </c>
    </row>
    <row r="72" spans="7:34" x14ac:dyDescent="0.2">
      <c r="G72" t="s">
        <v>88</v>
      </c>
      <c r="H72" t="s">
        <v>112</v>
      </c>
      <c r="I72">
        <v>1</v>
      </c>
      <c r="L72" t="s">
        <v>88</v>
      </c>
      <c r="M72" t="s">
        <v>220</v>
      </c>
      <c r="N72">
        <v>2</v>
      </c>
      <c r="AF72" s="14" t="s">
        <v>88</v>
      </c>
      <c r="AG72" s="15" t="s">
        <v>212</v>
      </c>
      <c r="AH72" s="16">
        <v>3</v>
      </c>
    </row>
    <row r="73" spans="7:34" x14ac:dyDescent="0.2">
      <c r="G73" t="s">
        <v>88</v>
      </c>
      <c r="H73" t="s">
        <v>115</v>
      </c>
      <c r="I73">
        <v>1</v>
      </c>
      <c r="L73" t="s">
        <v>88</v>
      </c>
      <c r="M73" t="s">
        <v>221</v>
      </c>
      <c r="N73">
        <v>2</v>
      </c>
      <c r="AF73" s="14" t="s">
        <v>88</v>
      </c>
      <c r="AG73" s="15" t="s">
        <v>213</v>
      </c>
      <c r="AH73" s="16">
        <v>3</v>
      </c>
    </row>
    <row r="74" spans="7:34" x14ac:dyDescent="0.2">
      <c r="G74" t="s">
        <v>88</v>
      </c>
      <c r="H74" t="s">
        <v>116</v>
      </c>
      <c r="I74">
        <v>1</v>
      </c>
      <c r="L74" t="s">
        <v>88</v>
      </c>
      <c r="M74" t="s">
        <v>178</v>
      </c>
      <c r="N74">
        <v>2</v>
      </c>
      <c r="AF74" s="14" t="s">
        <v>88</v>
      </c>
      <c r="AG74" s="15" t="s">
        <v>214</v>
      </c>
      <c r="AH74" s="16">
        <v>3</v>
      </c>
    </row>
    <row r="75" spans="7:34" x14ac:dyDescent="0.2">
      <c r="G75" t="s">
        <v>88</v>
      </c>
      <c r="H75" t="s">
        <v>122</v>
      </c>
      <c r="I75">
        <v>1</v>
      </c>
      <c r="L75" t="s">
        <v>88</v>
      </c>
      <c r="M75" t="s">
        <v>222</v>
      </c>
      <c r="N75">
        <v>2</v>
      </c>
      <c r="AF75" s="14" t="s">
        <v>88</v>
      </c>
      <c r="AG75" s="15" t="s">
        <v>167</v>
      </c>
      <c r="AH75" s="16">
        <v>3</v>
      </c>
    </row>
    <row r="76" spans="7:34" x14ac:dyDescent="0.2">
      <c r="G76" t="s">
        <v>88</v>
      </c>
      <c r="H76" t="s">
        <v>127</v>
      </c>
      <c r="I76">
        <v>1</v>
      </c>
      <c r="L76" t="s">
        <v>88</v>
      </c>
      <c r="M76" t="s">
        <v>223</v>
      </c>
      <c r="N76">
        <v>2</v>
      </c>
      <c r="AF76" s="14" t="s">
        <v>88</v>
      </c>
      <c r="AG76" s="15" t="s">
        <v>165</v>
      </c>
      <c r="AH76" s="16">
        <v>3</v>
      </c>
    </row>
    <row r="77" spans="7:34" x14ac:dyDescent="0.2">
      <c r="G77" t="s">
        <v>88</v>
      </c>
      <c r="H77" t="s">
        <v>130</v>
      </c>
      <c r="I77">
        <v>1</v>
      </c>
      <c r="L77" t="s">
        <v>88</v>
      </c>
      <c r="M77" t="s">
        <v>224</v>
      </c>
      <c r="N77">
        <v>2</v>
      </c>
      <c r="AF77" s="14" t="s">
        <v>88</v>
      </c>
      <c r="AG77" s="15" t="s">
        <v>112</v>
      </c>
      <c r="AH77" s="16">
        <v>3</v>
      </c>
    </row>
    <row r="78" spans="7:34" x14ac:dyDescent="0.2">
      <c r="G78" t="s">
        <v>88</v>
      </c>
      <c r="H78" t="s">
        <v>135</v>
      </c>
      <c r="I78">
        <v>1</v>
      </c>
      <c r="L78" t="s">
        <v>88</v>
      </c>
      <c r="M78" t="s">
        <v>225</v>
      </c>
      <c r="N78">
        <v>2</v>
      </c>
      <c r="AF78" s="14" t="s">
        <v>88</v>
      </c>
      <c r="AG78" s="15" t="s">
        <v>178</v>
      </c>
      <c r="AH78" s="16">
        <v>3</v>
      </c>
    </row>
    <row r="79" spans="7:34" x14ac:dyDescent="0.2">
      <c r="G79" t="s">
        <v>88</v>
      </c>
      <c r="H79" t="s">
        <v>141</v>
      </c>
      <c r="I79">
        <v>1</v>
      </c>
      <c r="L79" t="s">
        <v>88</v>
      </c>
      <c r="M79" t="s">
        <v>226</v>
      </c>
      <c r="N79">
        <v>2</v>
      </c>
      <c r="AF79" s="14" t="s">
        <v>88</v>
      </c>
      <c r="AG79" s="15" t="s">
        <v>138</v>
      </c>
      <c r="AH79" s="16">
        <v>3</v>
      </c>
    </row>
    <row r="80" spans="7:34" x14ac:dyDescent="0.2">
      <c r="G80" t="s">
        <v>88</v>
      </c>
      <c r="H80" t="s">
        <v>143</v>
      </c>
      <c r="I80">
        <v>1</v>
      </c>
      <c r="L80" t="s">
        <v>88</v>
      </c>
      <c r="M80" t="s">
        <v>97</v>
      </c>
      <c r="N80">
        <v>2</v>
      </c>
      <c r="AF80" s="14" t="s">
        <v>88</v>
      </c>
      <c r="AG80" s="15" t="s">
        <v>152</v>
      </c>
      <c r="AH80" s="16">
        <v>3</v>
      </c>
    </row>
    <row r="81" spans="7:34" x14ac:dyDescent="0.2">
      <c r="G81" t="s">
        <v>88</v>
      </c>
      <c r="H81" t="s">
        <v>149</v>
      </c>
      <c r="I81">
        <v>1</v>
      </c>
      <c r="L81" t="s">
        <v>88</v>
      </c>
      <c r="M81" t="s">
        <v>227</v>
      </c>
      <c r="N81">
        <v>2</v>
      </c>
      <c r="AF81" s="14" t="s">
        <v>88</v>
      </c>
      <c r="AG81" s="15" t="s">
        <v>113</v>
      </c>
      <c r="AH81" s="16">
        <v>3</v>
      </c>
    </row>
    <row r="82" spans="7:34" x14ac:dyDescent="0.2">
      <c r="G82" t="s">
        <v>88</v>
      </c>
      <c r="H82" t="s">
        <v>153</v>
      </c>
      <c r="I82">
        <v>1</v>
      </c>
      <c r="L82" t="s">
        <v>88</v>
      </c>
      <c r="M82" t="s">
        <v>182</v>
      </c>
      <c r="N82">
        <v>1</v>
      </c>
      <c r="AF82" s="14" t="s">
        <v>88</v>
      </c>
      <c r="AG82" s="15" t="s">
        <v>118</v>
      </c>
      <c r="AH82" s="16">
        <v>3</v>
      </c>
    </row>
    <row r="83" spans="7:34" x14ac:dyDescent="0.2">
      <c r="G83" t="s">
        <v>88</v>
      </c>
      <c r="H83" t="s">
        <v>157</v>
      </c>
      <c r="I83">
        <v>1</v>
      </c>
      <c r="L83" t="s">
        <v>88</v>
      </c>
      <c r="M83" t="s">
        <v>228</v>
      </c>
      <c r="N83">
        <v>1</v>
      </c>
      <c r="AF83" s="14" t="s">
        <v>88</v>
      </c>
      <c r="AG83" s="15" t="s">
        <v>128</v>
      </c>
      <c r="AH83" s="16">
        <v>3</v>
      </c>
    </row>
    <row r="84" spans="7:34" x14ac:dyDescent="0.2">
      <c r="G84" t="s">
        <v>88</v>
      </c>
      <c r="H84" t="s">
        <v>158</v>
      </c>
      <c r="I84">
        <v>1</v>
      </c>
      <c r="L84" t="s">
        <v>88</v>
      </c>
      <c r="M84" t="s">
        <v>229</v>
      </c>
      <c r="N84">
        <v>1</v>
      </c>
      <c r="AF84" s="14" t="s">
        <v>88</v>
      </c>
      <c r="AG84" s="15" t="s">
        <v>177</v>
      </c>
      <c r="AH84" s="16">
        <v>3</v>
      </c>
    </row>
    <row r="85" spans="7:34" x14ac:dyDescent="0.2">
      <c r="G85" t="s">
        <v>88</v>
      </c>
      <c r="H85" t="s">
        <v>159</v>
      </c>
      <c r="I85">
        <v>1</v>
      </c>
      <c r="L85" t="s">
        <v>88</v>
      </c>
      <c r="M85" t="s">
        <v>230</v>
      </c>
      <c r="N85">
        <v>1</v>
      </c>
      <c r="AF85" s="14" t="s">
        <v>88</v>
      </c>
      <c r="AG85" s="15" t="s">
        <v>215</v>
      </c>
      <c r="AH85" s="16">
        <v>2</v>
      </c>
    </row>
    <row r="86" spans="7:34" x14ac:dyDescent="0.2">
      <c r="G86" t="s">
        <v>88</v>
      </c>
      <c r="H86" t="s">
        <v>165</v>
      </c>
      <c r="I86">
        <v>1</v>
      </c>
      <c r="L86" t="s">
        <v>88</v>
      </c>
      <c r="M86" t="s">
        <v>231</v>
      </c>
      <c r="N86">
        <v>1</v>
      </c>
      <c r="AF86" s="14" t="s">
        <v>88</v>
      </c>
      <c r="AG86" s="15" t="s">
        <v>216</v>
      </c>
      <c r="AH86" s="16">
        <v>2</v>
      </c>
    </row>
    <row r="87" spans="7:34" x14ac:dyDescent="0.2">
      <c r="G87" t="s">
        <v>88</v>
      </c>
      <c r="H87" t="s">
        <v>167</v>
      </c>
      <c r="I87">
        <v>1</v>
      </c>
      <c r="L87" t="s">
        <v>88</v>
      </c>
      <c r="M87" t="s">
        <v>138</v>
      </c>
      <c r="N87">
        <v>1</v>
      </c>
      <c r="AF87" s="14" t="s">
        <v>88</v>
      </c>
      <c r="AG87" s="15" t="s">
        <v>217</v>
      </c>
      <c r="AH87" s="16">
        <v>2</v>
      </c>
    </row>
    <row r="88" spans="7:34" x14ac:dyDescent="0.2">
      <c r="G88" t="s">
        <v>88</v>
      </c>
      <c r="H88" t="s">
        <v>173</v>
      </c>
      <c r="I88">
        <v>1</v>
      </c>
      <c r="L88" t="s">
        <v>88</v>
      </c>
      <c r="M88" t="s">
        <v>152</v>
      </c>
      <c r="N88">
        <v>1</v>
      </c>
      <c r="AF88" s="14" t="s">
        <v>88</v>
      </c>
      <c r="AG88" s="15" t="s">
        <v>218</v>
      </c>
      <c r="AH88" s="16">
        <v>2</v>
      </c>
    </row>
    <row r="89" spans="7:34" x14ac:dyDescent="0.2">
      <c r="G89" t="s">
        <v>88</v>
      </c>
      <c r="H89" t="s">
        <v>175</v>
      </c>
      <c r="I89">
        <v>1</v>
      </c>
      <c r="L89" t="s">
        <v>88</v>
      </c>
      <c r="M89" t="s">
        <v>232</v>
      </c>
      <c r="N89">
        <v>1</v>
      </c>
      <c r="AF89" s="14" t="s">
        <v>88</v>
      </c>
      <c r="AG89" s="15" t="s">
        <v>219</v>
      </c>
      <c r="AH89" s="16">
        <v>2</v>
      </c>
    </row>
    <row r="90" spans="7:34" x14ac:dyDescent="0.2">
      <c r="G90" t="s">
        <v>88</v>
      </c>
      <c r="H90" t="s">
        <v>178</v>
      </c>
      <c r="I90">
        <v>1</v>
      </c>
      <c r="L90" t="s">
        <v>88</v>
      </c>
      <c r="M90" t="s">
        <v>149</v>
      </c>
      <c r="N90">
        <v>1</v>
      </c>
      <c r="AF90" s="14" t="s">
        <v>88</v>
      </c>
      <c r="AG90" s="15" t="s">
        <v>220</v>
      </c>
      <c r="AH90" s="16">
        <v>2</v>
      </c>
    </row>
    <row r="91" spans="7:34" x14ac:dyDescent="0.2">
      <c r="G91" t="s">
        <v>88</v>
      </c>
      <c r="H91" t="s">
        <v>179</v>
      </c>
      <c r="I91">
        <v>1</v>
      </c>
      <c r="L91" t="s">
        <v>88</v>
      </c>
      <c r="M91" t="s">
        <v>233</v>
      </c>
      <c r="N91">
        <v>1</v>
      </c>
      <c r="AF91" s="14" t="s">
        <v>88</v>
      </c>
      <c r="AG91" s="15" t="s">
        <v>221</v>
      </c>
      <c r="AH91" s="16">
        <v>2</v>
      </c>
    </row>
    <row r="92" spans="7:34" x14ac:dyDescent="0.2">
      <c r="L92" t="s">
        <v>88</v>
      </c>
      <c r="M92" t="s">
        <v>234</v>
      </c>
      <c r="N92">
        <v>1</v>
      </c>
      <c r="AF92" s="14" t="s">
        <v>88</v>
      </c>
      <c r="AG92" s="15" t="s">
        <v>222</v>
      </c>
      <c r="AH92" s="16">
        <v>2</v>
      </c>
    </row>
    <row r="93" spans="7:34" x14ac:dyDescent="0.2">
      <c r="L93" t="s">
        <v>88</v>
      </c>
      <c r="M93" t="s">
        <v>235</v>
      </c>
      <c r="N93">
        <v>1</v>
      </c>
      <c r="AF93" s="14" t="s">
        <v>88</v>
      </c>
      <c r="AG93" s="15" t="s">
        <v>223</v>
      </c>
      <c r="AH93" s="16">
        <v>2</v>
      </c>
    </row>
    <row r="94" spans="7:34" x14ac:dyDescent="0.2">
      <c r="L94" t="s">
        <v>88</v>
      </c>
      <c r="M94" t="s">
        <v>236</v>
      </c>
      <c r="N94">
        <v>1</v>
      </c>
      <c r="AF94" s="14" t="s">
        <v>88</v>
      </c>
      <c r="AG94" s="15" t="s">
        <v>224</v>
      </c>
      <c r="AH94" s="16">
        <v>2</v>
      </c>
    </row>
    <row r="95" spans="7:34" x14ac:dyDescent="0.2">
      <c r="L95" t="s">
        <v>88</v>
      </c>
      <c r="M95" t="s">
        <v>91</v>
      </c>
      <c r="N95">
        <v>1</v>
      </c>
      <c r="AF95" s="14" t="s">
        <v>88</v>
      </c>
      <c r="AG95" s="15" t="s">
        <v>225</v>
      </c>
      <c r="AH95" s="16">
        <v>2</v>
      </c>
    </row>
    <row r="96" spans="7:34" x14ac:dyDescent="0.2">
      <c r="L96" t="s">
        <v>88</v>
      </c>
      <c r="M96" t="s">
        <v>150</v>
      </c>
      <c r="N96">
        <v>38</v>
      </c>
      <c r="AF96" s="14" t="s">
        <v>88</v>
      </c>
      <c r="AG96" s="15" t="s">
        <v>226</v>
      </c>
      <c r="AH96" s="16">
        <v>2</v>
      </c>
    </row>
    <row r="97" spans="12:34" x14ac:dyDescent="0.2">
      <c r="L97" t="s">
        <v>88</v>
      </c>
      <c r="M97" t="s">
        <v>170</v>
      </c>
      <c r="N97">
        <v>17</v>
      </c>
      <c r="AF97" s="14" t="s">
        <v>88</v>
      </c>
      <c r="AG97" s="15" t="s">
        <v>227</v>
      </c>
      <c r="AH97" s="16">
        <v>2</v>
      </c>
    </row>
    <row r="98" spans="12:34" x14ac:dyDescent="0.2">
      <c r="L98" t="s">
        <v>88</v>
      </c>
      <c r="M98" t="s">
        <v>95</v>
      </c>
      <c r="N98">
        <v>15</v>
      </c>
      <c r="AF98" s="14" t="s">
        <v>88</v>
      </c>
      <c r="AG98" s="15" t="s">
        <v>149</v>
      </c>
      <c r="AH98" s="16">
        <v>2</v>
      </c>
    </row>
    <row r="99" spans="12:34" x14ac:dyDescent="0.2">
      <c r="L99" t="s">
        <v>88</v>
      </c>
      <c r="M99" t="s">
        <v>151</v>
      </c>
      <c r="N99">
        <v>15</v>
      </c>
      <c r="AF99" s="14" t="s">
        <v>88</v>
      </c>
      <c r="AG99" s="15" t="s">
        <v>123</v>
      </c>
      <c r="AH99" s="16">
        <v>2</v>
      </c>
    </row>
    <row r="100" spans="12:34" x14ac:dyDescent="0.2">
      <c r="L100" t="s">
        <v>88</v>
      </c>
      <c r="M100" t="s">
        <v>121</v>
      </c>
      <c r="N100">
        <v>11</v>
      </c>
      <c r="AF100" s="14" t="s">
        <v>88</v>
      </c>
      <c r="AG100" s="15" t="s">
        <v>155</v>
      </c>
      <c r="AH100" s="16">
        <v>2</v>
      </c>
    </row>
    <row r="101" spans="12:34" x14ac:dyDescent="0.2">
      <c r="L101" t="s">
        <v>88</v>
      </c>
      <c r="M101" t="s">
        <v>126</v>
      </c>
      <c r="N101">
        <v>11</v>
      </c>
      <c r="AF101" s="14" t="s">
        <v>88</v>
      </c>
      <c r="AG101" s="15" t="s">
        <v>154</v>
      </c>
      <c r="AH101" s="16">
        <v>2</v>
      </c>
    </row>
    <row r="102" spans="12:34" x14ac:dyDescent="0.2">
      <c r="L102" t="s">
        <v>88</v>
      </c>
      <c r="M102" t="s">
        <v>168</v>
      </c>
      <c r="N102">
        <v>9</v>
      </c>
      <c r="AF102" s="14" t="s">
        <v>88</v>
      </c>
      <c r="AG102" s="15" t="s">
        <v>156</v>
      </c>
      <c r="AH102" s="16">
        <v>2</v>
      </c>
    </row>
    <row r="103" spans="12:34" x14ac:dyDescent="0.2">
      <c r="L103" t="s">
        <v>88</v>
      </c>
      <c r="M103" t="s">
        <v>140</v>
      </c>
      <c r="N103">
        <v>8</v>
      </c>
      <c r="AF103" s="14" t="s">
        <v>88</v>
      </c>
      <c r="AG103" s="15" t="s">
        <v>166</v>
      </c>
      <c r="AH103" s="16">
        <v>2</v>
      </c>
    </row>
    <row r="104" spans="12:34" x14ac:dyDescent="0.2">
      <c r="L104" t="s">
        <v>88</v>
      </c>
      <c r="M104" t="s">
        <v>89</v>
      </c>
      <c r="N104">
        <v>7</v>
      </c>
      <c r="AF104" s="14" t="s">
        <v>88</v>
      </c>
      <c r="AG104" s="15" t="s">
        <v>171</v>
      </c>
      <c r="AH104" s="16">
        <v>2</v>
      </c>
    </row>
    <row r="105" spans="12:34" x14ac:dyDescent="0.2">
      <c r="L105" t="s">
        <v>88</v>
      </c>
      <c r="M105" t="s">
        <v>94</v>
      </c>
      <c r="N105">
        <v>7</v>
      </c>
      <c r="AF105" s="14" t="s">
        <v>88</v>
      </c>
      <c r="AG105" s="15" t="s">
        <v>182</v>
      </c>
      <c r="AH105" s="16">
        <v>1</v>
      </c>
    </row>
    <row r="106" spans="12:34" x14ac:dyDescent="0.2">
      <c r="L106" t="s">
        <v>88</v>
      </c>
      <c r="M106" t="s">
        <v>117</v>
      </c>
      <c r="N106">
        <v>7</v>
      </c>
      <c r="AF106" s="14" t="s">
        <v>88</v>
      </c>
      <c r="AG106" s="15" t="s">
        <v>228</v>
      </c>
      <c r="AH106" s="16">
        <v>1</v>
      </c>
    </row>
    <row r="107" spans="12:34" x14ac:dyDescent="0.2">
      <c r="L107" t="s">
        <v>88</v>
      </c>
      <c r="M107" t="s">
        <v>162</v>
      </c>
      <c r="N107">
        <v>7</v>
      </c>
      <c r="AF107" s="14" t="s">
        <v>88</v>
      </c>
      <c r="AG107" s="15" t="s">
        <v>229</v>
      </c>
      <c r="AH107" s="16">
        <v>1</v>
      </c>
    </row>
    <row r="108" spans="12:34" x14ac:dyDescent="0.2">
      <c r="L108" t="s">
        <v>88</v>
      </c>
      <c r="M108" t="s">
        <v>92</v>
      </c>
      <c r="N108">
        <v>6</v>
      </c>
      <c r="AF108" s="14" t="s">
        <v>88</v>
      </c>
      <c r="AG108" s="15" t="s">
        <v>230</v>
      </c>
      <c r="AH108" s="16">
        <v>1</v>
      </c>
    </row>
    <row r="109" spans="12:34" x14ac:dyDescent="0.2">
      <c r="L109" t="s">
        <v>88</v>
      </c>
      <c r="M109" t="s">
        <v>108</v>
      </c>
      <c r="N109">
        <v>6</v>
      </c>
      <c r="AF109" s="14" t="s">
        <v>88</v>
      </c>
      <c r="AG109" s="15" t="s">
        <v>231</v>
      </c>
      <c r="AH109" s="16">
        <v>1</v>
      </c>
    </row>
    <row r="110" spans="12:34" x14ac:dyDescent="0.2">
      <c r="L110" t="s">
        <v>88</v>
      </c>
      <c r="M110" t="s">
        <v>129</v>
      </c>
      <c r="N110">
        <v>6</v>
      </c>
      <c r="AF110" s="14" t="s">
        <v>88</v>
      </c>
      <c r="AG110" s="15" t="s">
        <v>232</v>
      </c>
      <c r="AH110" s="16">
        <v>1</v>
      </c>
    </row>
    <row r="111" spans="12:34" x14ac:dyDescent="0.2">
      <c r="L111" t="s">
        <v>88</v>
      </c>
      <c r="M111" t="s">
        <v>172</v>
      </c>
      <c r="N111">
        <v>6</v>
      </c>
      <c r="AF111" s="14" t="s">
        <v>88</v>
      </c>
      <c r="AG111" s="15" t="s">
        <v>233</v>
      </c>
      <c r="AH111" s="16">
        <v>1</v>
      </c>
    </row>
    <row r="112" spans="12:34" x14ac:dyDescent="0.2">
      <c r="L112" t="s">
        <v>88</v>
      </c>
      <c r="M112" t="s">
        <v>176</v>
      </c>
      <c r="N112">
        <v>6</v>
      </c>
      <c r="AF112" s="14" t="s">
        <v>88</v>
      </c>
      <c r="AG112" s="15" t="s">
        <v>234</v>
      </c>
      <c r="AH112" s="16">
        <v>1</v>
      </c>
    </row>
    <row r="113" spans="12:34" x14ac:dyDescent="0.2">
      <c r="L113" t="s">
        <v>88</v>
      </c>
      <c r="M113" t="s">
        <v>93</v>
      </c>
      <c r="N113">
        <v>5</v>
      </c>
      <c r="AF113" s="14" t="s">
        <v>88</v>
      </c>
      <c r="AG113" s="15" t="s">
        <v>235</v>
      </c>
      <c r="AH113" s="16">
        <v>1</v>
      </c>
    </row>
    <row r="114" spans="12:34" x14ac:dyDescent="0.2">
      <c r="L114" t="s">
        <v>88</v>
      </c>
      <c r="M114" t="s">
        <v>109</v>
      </c>
      <c r="N114">
        <v>5</v>
      </c>
      <c r="AF114" s="14" t="s">
        <v>88</v>
      </c>
      <c r="AG114" s="15" t="s">
        <v>236</v>
      </c>
      <c r="AH114" s="16">
        <v>1</v>
      </c>
    </row>
    <row r="115" spans="12:34" x14ac:dyDescent="0.2">
      <c r="L115" t="s">
        <v>88</v>
      </c>
      <c r="M115" t="s">
        <v>90</v>
      </c>
      <c r="N115">
        <v>4</v>
      </c>
      <c r="AF115" s="14" t="s">
        <v>88</v>
      </c>
      <c r="AG115" s="15" t="s">
        <v>96</v>
      </c>
      <c r="AH115" s="16">
        <v>1</v>
      </c>
    </row>
    <row r="116" spans="12:34" x14ac:dyDescent="0.2">
      <c r="L116" t="s">
        <v>88</v>
      </c>
      <c r="M116" t="s">
        <v>98</v>
      </c>
      <c r="N116">
        <v>4</v>
      </c>
      <c r="AF116" s="14" t="s">
        <v>88</v>
      </c>
      <c r="AG116" s="15" t="s">
        <v>115</v>
      </c>
      <c r="AH116" s="16">
        <v>1</v>
      </c>
    </row>
    <row r="117" spans="12:34" x14ac:dyDescent="0.2">
      <c r="L117" t="s">
        <v>88</v>
      </c>
      <c r="M117" t="s">
        <v>99</v>
      </c>
      <c r="N117">
        <v>4</v>
      </c>
      <c r="AF117" s="14" t="s">
        <v>88</v>
      </c>
      <c r="AG117" s="15" t="s">
        <v>116</v>
      </c>
      <c r="AH117" s="16">
        <v>1</v>
      </c>
    </row>
    <row r="118" spans="12:34" x14ac:dyDescent="0.2">
      <c r="L118" t="s">
        <v>88</v>
      </c>
      <c r="M118" t="s">
        <v>114</v>
      </c>
      <c r="N118">
        <v>4</v>
      </c>
      <c r="AF118" s="14" t="s">
        <v>88</v>
      </c>
      <c r="AG118" s="15" t="s">
        <v>127</v>
      </c>
      <c r="AH118" s="16">
        <v>1</v>
      </c>
    </row>
    <row r="119" spans="12:34" x14ac:dyDescent="0.2">
      <c r="L119" t="s">
        <v>88</v>
      </c>
      <c r="M119" t="s">
        <v>160</v>
      </c>
      <c r="N119">
        <v>4</v>
      </c>
      <c r="AF119" s="14" t="s">
        <v>88</v>
      </c>
      <c r="AG119" s="15" t="s">
        <v>153</v>
      </c>
      <c r="AH119" s="16">
        <v>1</v>
      </c>
    </row>
    <row r="120" spans="12:34" x14ac:dyDescent="0.2">
      <c r="L120" t="s">
        <v>88</v>
      </c>
      <c r="M120" t="s">
        <v>161</v>
      </c>
      <c r="N120">
        <v>4</v>
      </c>
      <c r="AF120" s="14" t="s">
        <v>88</v>
      </c>
      <c r="AG120" s="15" t="s">
        <v>158</v>
      </c>
      <c r="AH120" s="16">
        <v>1</v>
      </c>
    </row>
    <row r="121" spans="12:34" x14ac:dyDescent="0.2">
      <c r="L121" t="s">
        <v>88</v>
      </c>
      <c r="M121" t="s">
        <v>91</v>
      </c>
      <c r="N121">
        <v>3</v>
      </c>
      <c r="AF121" s="17" t="s">
        <v>88</v>
      </c>
      <c r="AG121" s="18" t="s">
        <v>175</v>
      </c>
      <c r="AH121" s="19">
        <v>1</v>
      </c>
    </row>
    <row r="122" spans="12:34" x14ac:dyDescent="0.2">
      <c r="L122" t="s">
        <v>88</v>
      </c>
      <c r="M122" t="s">
        <v>97</v>
      </c>
      <c r="N122">
        <v>3</v>
      </c>
      <c r="AF122" s="2" t="s">
        <v>246</v>
      </c>
      <c r="AG122" s="3" t="s">
        <v>88</v>
      </c>
      <c r="AH122" s="29">
        <f>SUM(AH11:AH121)</f>
        <v>652</v>
      </c>
    </row>
    <row r="123" spans="12:34" x14ac:dyDescent="0.2">
      <c r="L123" t="s">
        <v>88</v>
      </c>
      <c r="M123" t="s">
        <v>113</v>
      </c>
      <c r="N123">
        <v>3</v>
      </c>
      <c r="AF123" s="2" t="s">
        <v>85</v>
      </c>
      <c r="AG123" s="3" t="s">
        <v>88</v>
      </c>
      <c r="AH123" s="29">
        <f>SUM(AH2:AH121)</f>
        <v>903</v>
      </c>
    </row>
    <row r="124" spans="12:34" x14ac:dyDescent="0.2">
      <c r="L124" t="s">
        <v>88</v>
      </c>
      <c r="M124" t="s">
        <v>118</v>
      </c>
      <c r="N124">
        <v>3</v>
      </c>
    </row>
    <row r="125" spans="12:34" x14ac:dyDescent="0.2">
      <c r="L125" t="s">
        <v>88</v>
      </c>
      <c r="M125" t="s">
        <v>128</v>
      </c>
      <c r="N125">
        <v>3</v>
      </c>
    </row>
    <row r="126" spans="12:34" x14ac:dyDescent="0.2">
      <c r="L126" t="s">
        <v>88</v>
      </c>
      <c r="M126" t="s">
        <v>177</v>
      </c>
      <c r="N126">
        <v>3</v>
      </c>
    </row>
    <row r="127" spans="12:34" x14ac:dyDescent="0.2">
      <c r="L127" t="s">
        <v>88</v>
      </c>
      <c r="M127" t="s">
        <v>110</v>
      </c>
      <c r="N127">
        <v>2</v>
      </c>
    </row>
    <row r="128" spans="12:34" x14ac:dyDescent="0.2">
      <c r="L128" t="s">
        <v>88</v>
      </c>
      <c r="M128" t="s">
        <v>123</v>
      </c>
      <c r="N128">
        <v>2</v>
      </c>
    </row>
    <row r="129" spans="12:14" x14ac:dyDescent="0.2">
      <c r="L129" t="s">
        <v>88</v>
      </c>
      <c r="M129" t="s">
        <v>133</v>
      </c>
      <c r="N129">
        <v>2</v>
      </c>
    </row>
    <row r="130" spans="12:14" x14ac:dyDescent="0.2">
      <c r="L130" t="s">
        <v>88</v>
      </c>
      <c r="M130" t="s">
        <v>132</v>
      </c>
      <c r="N130">
        <v>2</v>
      </c>
    </row>
    <row r="131" spans="12:14" x14ac:dyDescent="0.2">
      <c r="L131" t="s">
        <v>88</v>
      </c>
      <c r="M131" t="s">
        <v>136</v>
      </c>
      <c r="N131">
        <v>2</v>
      </c>
    </row>
    <row r="132" spans="12:14" x14ac:dyDescent="0.2">
      <c r="L132" t="s">
        <v>88</v>
      </c>
      <c r="M132" t="s">
        <v>138</v>
      </c>
      <c r="N132">
        <v>2</v>
      </c>
    </row>
    <row r="133" spans="12:14" x14ac:dyDescent="0.2">
      <c r="L133" t="s">
        <v>88</v>
      </c>
      <c r="M133" t="s">
        <v>142</v>
      </c>
      <c r="N133">
        <v>2</v>
      </c>
    </row>
    <row r="134" spans="12:14" x14ac:dyDescent="0.2">
      <c r="L134" t="s">
        <v>88</v>
      </c>
      <c r="M134" t="s">
        <v>144</v>
      </c>
      <c r="N134">
        <v>2</v>
      </c>
    </row>
    <row r="135" spans="12:14" x14ac:dyDescent="0.2">
      <c r="L135" t="s">
        <v>88</v>
      </c>
      <c r="M135" t="s">
        <v>152</v>
      </c>
      <c r="N135">
        <v>2</v>
      </c>
    </row>
    <row r="136" spans="12:14" x14ac:dyDescent="0.2">
      <c r="L136" t="s">
        <v>88</v>
      </c>
      <c r="M136" t="s">
        <v>155</v>
      </c>
      <c r="N136">
        <v>2</v>
      </c>
    </row>
    <row r="137" spans="12:14" x14ac:dyDescent="0.2">
      <c r="L137" t="s">
        <v>88</v>
      </c>
      <c r="M137" t="s">
        <v>154</v>
      </c>
      <c r="N137">
        <v>2</v>
      </c>
    </row>
    <row r="138" spans="12:14" x14ac:dyDescent="0.2">
      <c r="L138" t="s">
        <v>88</v>
      </c>
      <c r="M138" t="s">
        <v>156</v>
      </c>
      <c r="N138">
        <v>2</v>
      </c>
    </row>
    <row r="139" spans="12:14" x14ac:dyDescent="0.2">
      <c r="L139" t="s">
        <v>88</v>
      </c>
      <c r="M139" t="s">
        <v>163</v>
      </c>
      <c r="N139">
        <v>2</v>
      </c>
    </row>
    <row r="140" spans="12:14" x14ac:dyDescent="0.2">
      <c r="L140" t="s">
        <v>88</v>
      </c>
      <c r="M140" t="s">
        <v>164</v>
      </c>
      <c r="N140">
        <v>2</v>
      </c>
    </row>
    <row r="141" spans="12:14" x14ac:dyDescent="0.2">
      <c r="L141" t="s">
        <v>88</v>
      </c>
      <c r="M141" t="s">
        <v>166</v>
      </c>
      <c r="N141">
        <v>2</v>
      </c>
    </row>
    <row r="142" spans="12:14" x14ac:dyDescent="0.2">
      <c r="L142" t="s">
        <v>88</v>
      </c>
      <c r="M142" t="s">
        <v>171</v>
      </c>
      <c r="N142">
        <v>2</v>
      </c>
    </row>
    <row r="143" spans="12:14" x14ac:dyDescent="0.2">
      <c r="L143" t="s">
        <v>88</v>
      </c>
      <c r="M143" t="s">
        <v>174</v>
      </c>
      <c r="N143">
        <v>2</v>
      </c>
    </row>
    <row r="144" spans="12:14" x14ac:dyDescent="0.2">
      <c r="L144" t="s">
        <v>88</v>
      </c>
      <c r="M144" t="s">
        <v>96</v>
      </c>
      <c r="N144">
        <v>1</v>
      </c>
    </row>
    <row r="145" spans="12:14" x14ac:dyDescent="0.2">
      <c r="L145" t="s">
        <v>88</v>
      </c>
      <c r="M145" t="s">
        <v>111</v>
      </c>
      <c r="N145">
        <v>1</v>
      </c>
    </row>
    <row r="146" spans="12:14" x14ac:dyDescent="0.2">
      <c r="L146" t="s">
        <v>88</v>
      </c>
      <c r="M146" t="s">
        <v>112</v>
      </c>
      <c r="N146">
        <v>1</v>
      </c>
    </row>
    <row r="147" spans="12:14" x14ac:dyDescent="0.2">
      <c r="L147" t="s">
        <v>88</v>
      </c>
      <c r="M147" t="s">
        <v>115</v>
      </c>
      <c r="N147">
        <v>1</v>
      </c>
    </row>
    <row r="148" spans="12:14" x14ac:dyDescent="0.2">
      <c r="L148" t="s">
        <v>88</v>
      </c>
      <c r="M148" t="s">
        <v>116</v>
      </c>
      <c r="N148">
        <v>1</v>
      </c>
    </row>
    <row r="149" spans="12:14" x14ac:dyDescent="0.2">
      <c r="L149" t="s">
        <v>88</v>
      </c>
      <c r="M149" t="s">
        <v>122</v>
      </c>
      <c r="N149">
        <v>1</v>
      </c>
    </row>
    <row r="150" spans="12:14" x14ac:dyDescent="0.2">
      <c r="L150" t="s">
        <v>88</v>
      </c>
      <c r="M150" t="s">
        <v>127</v>
      </c>
      <c r="N150">
        <v>1</v>
      </c>
    </row>
    <row r="151" spans="12:14" x14ac:dyDescent="0.2">
      <c r="L151" t="s">
        <v>88</v>
      </c>
      <c r="M151" t="s">
        <v>130</v>
      </c>
      <c r="N151">
        <v>1</v>
      </c>
    </row>
    <row r="152" spans="12:14" x14ac:dyDescent="0.2">
      <c r="L152" t="s">
        <v>88</v>
      </c>
      <c r="M152" t="s">
        <v>135</v>
      </c>
      <c r="N152">
        <v>1</v>
      </c>
    </row>
    <row r="153" spans="12:14" x14ac:dyDescent="0.2">
      <c r="L153" t="s">
        <v>88</v>
      </c>
      <c r="M153" t="s">
        <v>141</v>
      </c>
      <c r="N153">
        <v>1</v>
      </c>
    </row>
    <row r="154" spans="12:14" x14ac:dyDescent="0.2">
      <c r="L154" t="s">
        <v>88</v>
      </c>
      <c r="M154" t="s">
        <v>143</v>
      </c>
      <c r="N154">
        <v>1</v>
      </c>
    </row>
    <row r="155" spans="12:14" x14ac:dyDescent="0.2">
      <c r="L155" t="s">
        <v>88</v>
      </c>
      <c r="M155" t="s">
        <v>149</v>
      </c>
      <c r="N155">
        <v>1</v>
      </c>
    </row>
    <row r="156" spans="12:14" x14ac:dyDescent="0.2">
      <c r="L156" t="s">
        <v>88</v>
      </c>
      <c r="M156" t="s">
        <v>153</v>
      </c>
      <c r="N156">
        <v>1</v>
      </c>
    </row>
    <row r="157" spans="12:14" x14ac:dyDescent="0.2">
      <c r="L157" t="s">
        <v>88</v>
      </c>
      <c r="M157" t="s">
        <v>157</v>
      </c>
      <c r="N157">
        <v>1</v>
      </c>
    </row>
    <row r="158" spans="12:14" x14ac:dyDescent="0.2">
      <c r="L158" t="s">
        <v>88</v>
      </c>
      <c r="M158" t="s">
        <v>158</v>
      </c>
      <c r="N158">
        <v>1</v>
      </c>
    </row>
    <row r="159" spans="12:14" x14ac:dyDescent="0.2">
      <c r="L159" t="s">
        <v>88</v>
      </c>
      <c r="M159" t="s">
        <v>159</v>
      </c>
      <c r="N159">
        <v>1</v>
      </c>
    </row>
    <row r="160" spans="12:14" x14ac:dyDescent="0.2">
      <c r="L160" t="s">
        <v>88</v>
      </c>
      <c r="M160" t="s">
        <v>165</v>
      </c>
      <c r="N160">
        <v>1</v>
      </c>
    </row>
    <row r="161" spans="12:14" x14ac:dyDescent="0.2">
      <c r="L161" t="s">
        <v>88</v>
      </c>
      <c r="M161" t="s">
        <v>167</v>
      </c>
      <c r="N161">
        <v>1</v>
      </c>
    </row>
    <row r="162" spans="12:14" x14ac:dyDescent="0.2">
      <c r="L162" t="s">
        <v>88</v>
      </c>
      <c r="M162" t="s">
        <v>173</v>
      </c>
      <c r="N162">
        <v>1</v>
      </c>
    </row>
    <row r="163" spans="12:14" x14ac:dyDescent="0.2">
      <c r="L163" t="s">
        <v>88</v>
      </c>
      <c r="M163" t="s">
        <v>175</v>
      </c>
      <c r="N163">
        <v>1</v>
      </c>
    </row>
    <row r="164" spans="12:14" x14ac:dyDescent="0.2">
      <c r="L164" t="s">
        <v>88</v>
      </c>
      <c r="M164" t="s">
        <v>178</v>
      </c>
      <c r="N164">
        <v>1</v>
      </c>
    </row>
    <row r="165" spans="12:14" x14ac:dyDescent="0.2">
      <c r="L165" t="s">
        <v>88</v>
      </c>
      <c r="M165" t="s">
        <v>179</v>
      </c>
      <c r="N165">
        <v>1</v>
      </c>
    </row>
  </sheetData>
  <sortState xmlns:xlrd2="http://schemas.microsoft.com/office/spreadsheetml/2017/richdata2" ref="AJ2:AK121">
    <sortCondition descending="1" ref="AK2:AK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 summary</vt:lpstr>
      <vt:lpstr>Gene Usage</vt:lpstr>
      <vt:lpstr>Sankey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17180260781242334016505326660</dc:creator>
  <cp:lastModifiedBy>TU-Pseudonym 17180260781242334016505326660</cp:lastModifiedBy>
  <dcterms:created xsi:type="dcterms:W3CDTF">2025-06-18T08:33:08Z</dcterms:created>
  <dcterms:modified xsi:type="dcterms:W3CDTF">2025-07-17T08:18:52Z</dcterms:modified>
</cp:coreProperties>
</file>